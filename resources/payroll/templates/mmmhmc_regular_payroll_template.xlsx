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-JELENE\Downloads\"/>
    </mc:Choice>
  </mc:AlternateContent>
  <xr:revisionPtr revIDLastSave="0" documentId="13_ncr:1_{DD51B2D6-7CCF-407C-83AF-240F02C0447F}" xr6:coauthVersionLast="47" xr6:coauthVersionMax="47" xr10:uidLastSave="{00000000-0000-0000-0000-000000000000}"/>
  <bookViews>
    <workbookView xWindow="-120" yWindow="-120" windowWidth="29040" windowHeight="15720" xr2:uid="{62B0C4B0-2CC4-44E0-A20C-9DA108A395AC}"/>
  </bookViews>
  <sheets>
    <sheet name="Regular" sheetId="1" r:id="rId1"/>
    <sheet name="Masterlist" sheetId="4" r:id="rId2"/>
  </sheets>
  <definedNames>
    <definedName name="_xlnm.Print_Area" localSheetId="0">Regular!$A$1:$FA$41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O7" i="1" l="1"/>
  <c r="BE7" i="1"/>
  <c r="AL7" i="1"/>
  <c r="EC4" i="1"/>
  <c r="DX4" i="1"/>
  <c r="DS4" i="1"/>
  <c r="DN4" i="1"/>
  <c r="DI4" i="1"/>
  <c r="DC4" i="1"/>
  <c r="CX4" i="1"/>
  <c r="CS4" i="1"/>
  <c r="CN4" i="1"/>
  <c r="CI4" i="1"/>
  <c r="CD4" i="1"/>
  <c r="BY4" i="1"/>
  <c r="BT4" i="1"/>
  <c r="BO4" i="1"/>
  <c r="BG4" i="1"/>
  <c r="BJ4" i="1" s="1"/>
  <c r="FA17" i="1"/>
</calcChain>
</file>

<file path=xl/sharedStrings.xml><?xml version="1.0" encoding="utf-8"?>
<sst xmlns="http://schemas.openxmlformats.org/spreadsheetml/2006/main" count="264" uniqueCount="169">
  <si>
    <t>NO.</t>
  </si>
  <si>
    <t>EMP NO.</t>
  </si>
  <si>
    <t>GSIS NO.</t>
  </si>
  <si>
    <t>PHIC NO.</t>
  </si>
  <si>
    <t>HDMF NO.</t>
  </si>
  <si>
    <t>FUND TYPE</t>
  </si>
  <si>
    <t>PLANTILLA NO.</t>
  </si>
  <si>
    <t>TIN NO.</t>
  </si>
  <si>
    <t>NAME</t>
  </si>
  <si>
    <t>POSITION</t>
  </si>
  <si>
    <t>SG</t>
  </si>
  <si>
    <t>SI</t>
  </si>
  <si>
    <t>BASIC SALARY</t>
  </si>
  <si>
    <t>PERA</t>
  </si>
  <si>
    <t>LAUNDRY</t>
  </si>
  <si>
    <t>TEV</t>
  </si>
  <si>
    <t>LWOP</t>
  </si>
  <si>
    <t>LEAVE INCLUSIVE DATE</t>
  </si>
  <si>
    <t>UNATHORIZED LEAVE</t>
  </si>
  <si>
    <t>OTHERS</t>
  </si>
  <si>
    <t>SUBSISTENCE</t>
  </si>
  <si>
    <t>REMARKS</t>
  </si>
  <si>
    <t>ADJUSTMENT</t>
  </si>
  <si>
    <t>GSIS (PS)</t>
  </si>
  <si>
    <t>GSIS (GS)</t>
  </si>
  <si>
    <t>EC</t>
  </si>
  <si>
    <t>PHIC (PS)</t>
  </si>
  <si>
    <t>PHIC (GS)</t>
  </si>
  <si>
    <t>HDMF (PS)</t>
  </si>
  <si>
    <t>HDMF (GS)</t>
  </si>
  <si>
    <t>MANDATORY DEDUCTIONS</t>
  </si>
  <si>
    <t>EMERGENCY LOAN</t>
  </si>
  <si>
    <t>COMPUTER LOAN</t>
  </si>
  <si>
    <t>CONSO LOAN</t>
  </si>
  <si>
    <t>REGULAR POLICY LOAN</t>
  </si>
  <si>
    <t>GFAL</t>
  </si>
  <si>
    <t>MPL</t>
  </si>
  <si>
    <t>MPL LITE</t>
  </si>
  <si>
    <t>GSEL</t>
  </si>
  <si>
    <t>OPT LOAN</t>
  </si>
  <si>
    <t>HOUSING LOAN</t>
  </si>
  <si>
    <t>GSIS LOAN</t>
  </si>
  <si>
    <t>HDMF MPL</t>
  </si>
  <si>
    <t>HDMF CALAMITY</t>
  </si>
  <si>
    <t>HDMF MP2 A</t>
  </si>
  <si>
    <t>HDMF MP2 B</t>
  </si>
  <si>
    <t>HDMF MP2 C</t>
  </si>
  <si>
    <t>HDMF LOAN AND MP2</t>
  </si>
  <si>
    <t>No. of Amortization</t>
  </si>
  <si>
    <t>No. of Savings</t>
  </si>
  <si>
    <t>DBP LOAN</t>
  </si>
  <si>
    <t>LBP LOAN</t>
  </si>
  <si>
    <t>UCPB LOAN</t>
  </si>
  <si>
    <t>MMSU</t>
  </si>
  <si>
    <t>MMMHC COOP</t>
  </si>
  <si>
    <t>DEATH AID</t>
  </si>
  <si>
    <t>PENALTY BAC</t>
  </si>
  <si>
    <t>NET PAY</t>
  </si>
  <si>
    <t>15TH</t>
  </si>
  <si>
    <t>30TH</t>
  </si>
  <si>
    <t>GROSS COMPENSATION</t>
  </si>
  <si>
    <t>ADJUSTMENT HAZARD PAY</t>
  </si>
  <si>
    <t>% of HP</t>
  </si>
  <si>
    <t>NET HAZARD PAY</t>
  </si>
  <si>
    <t>A.</t>
  </si>
  <si>
    <r>
      <rPr>
        <b/>
        <sz val="9"/>
        <color theme="1"/>
        <rFont val="Arial Narrow"/>
        <family val="2"/>
      </rPr>
      <t>CERTIFIED:</t>
    </r>
    <r>
      <rPr>
        <sz val="9"/>
        <color theme="1"/>
        <rFont val="Arial Narrow"/>
        <family val="2"/>
      </rPr>
      <t xml:space="preserve"> Services duly rendered as stated. </t>
    </r>
  </si>
  <si>
    <t xml:space="preserve">C. </t>
  </si>
  <si>
    <t>APPROVED FOR PAYMENT:</t>
  </si>
  <si>
    <t>KAPELHOFF A . QUIDANG, MBA</t>
  </si>
  <si>
    <t>Date: ________________</t>
  </si>
  <si>
    <t>MARIA LOURDES K. OTAYZA, MD, MHA, CESO V, FPOGS</t>
  </si>
  <si>
    <t>(Signature over Printed Name)</t>
  </si>
  <si>
    <t xml:space="preserve">(Signature over Printed Name)
</t>
  </si>
  <si>
    <t>Chief Administrative Officer</t>
  </si>
  <si>
    <t>Medical Center Chief II</t>
  </si>
  <si>
    <t>B.</t>
  </si>
  <si>
    <t xml:space="preserve">D. </t>
  </si>
  <si>
    <r>
      <rPr>
        <b/>
        <sz val="9"/>
        <color theme="1"/>
        <rFont val="Arial Narrow"/>
        <family val="2"/>
      </rPr>
      <t>CERTIFIED:</t>
    </r>
    <r>
      <rPr>
        <sz val="9"/>
        <color theme="1"/>
        <rFont val="Arial Narrow"/>
        <family val="2"/>
      </rPr>
      <t xml:space="preserve"> Each employee whose name appears on the payroll has been paid the amount as</t>
    </r>
  </si>
  <si>
    <t>E.</t>
  </si>
  <si>
    <t xml:space="preserve">in the amount of  P </t>
  </si>
  <si>
    <t>indicated opposite his/her name</t>
  </si>
  <si>
    <t>ORS No.:  _______________________</t>
  </si>
  <si>
    <t>Date: ___________________________</t>
  </si>
  <si>
    <t>JEV No.: ________________________</t>
  </si>
  <si>
    <t>JAMAICA VIEN P. ORTAL, CPA,  MM-FM</t>
  </si>
  <si>
    <t>RYAN JOSEPH S. LUMANG, CPA</t>
  </si>
  <si>
    <t xml:space="preserve">(Signature over Printed Name)
</t>
  </si>
  <si>
    <t>Accountant IV</t>
  </si>
  <si>
    <t xml:space="preserve">Supervising Administrative Officer </t>
  </si>
  <si>
    <r>
      <rPr>
        <b/>
        <sz val="9"/>
        <color theme="1"/>
        <rFont val="Arial Narrow"/>
        <family val="2"/>
      </rPr>
      <t xml:space="preserve">CERTIFIED: </t>
    </r>
    <r>
      <rPr>
        <sz val="9"/>
        <color theme="1"/>
        <rFont val="Arial Narrow"/>
        <family val="2"/>
      </rPr>
      <t>Supporting documents complete and proper and cash available</t>
    </r>
  </si>
  <si>
    <t>(Amount in Words)</t>
  </si>
  <si>
    <t>Prepared by:</t>
  </si>
  <si>
    <t>CLARISSA JELENE C. DE ROSAS, MBA, CHRA</t>
  </si>
  <si>
    <t>Administrative Officer II</t>
  </si>
  <si>
    <t>KENNETH JOY D. MARTIN</t>
  </si>
  <si>
    <t>JULIE ANN V. FLOJO</t>
  </si>
  <si>
    <t>Administrative Assitant II</t>
  </si>
  <si>
    <t>ELIGIBILITY</t>
  </si>
  <si>
    <t>NATURE OF APPOINTMENT</t>
  </si>
  <si>
    <t>ITEM NUMBER</t>
  </si>
  <si>
    <t>POSITION TITLE</t>
  </si>
  <si>
    <t>NAME OF INCUMBENT</t>
  </si>
  <si>
    <t>AGE</t>
  </si>
  <si>
    <t>SEX</t>
  </si>
  <si>
    <t>DOB</t>
  </si>
  <si>
    <t>DOA</t>
  </si>
  <si>
    <t>DOP</t>
  </si>
  <si>
    <t>STATUS OF APPT</t>
  </si>
  <si>
    <t>GROSS BASIC SALARY</t>
  </si>
  <si>
    <t>GROSS HAZARD PAY</t>
  </si>
  <si>
    <t>TAX ON ADJUSTMENT</t>
  </si>
  <si>
    <t>TAX ON GROSS HAZARD</t>
  </si>
  <si>
    <t>SIGNATURE</t>
  </si>
  <si>
    <t>DEPARTMENT</t>
  </si>
  <si>
    <t>DIVISION</t>
  </si>
  <si>
    <t>RESPONSIBILITY CENTER</t>
  </si>
  <si>
    <t>TOTAL MANDATORY DEDCUTIONS</t>
  </si>
  <si>
    <t>TOTAL OTHER DEDUCTIONS</t>
  </si>
  <si>
    <t>WITHHOLDING TAX (GROSS)</t>
  </si>
  <si>
    <t>WITHHOLDING TAX (ADJUSTMENT)</t>
  </si>
  <si>
    <t>TOTAL NON TAXBLE INCOME</t>
  </si>
  <si>
    <t>TOTAL TAXABLE INCOME</t>
  </si>
  <si>
    <t>EA DEDUCTIONS</t>
  </si>
  <si>
    <t>UACS CODE</t>
  </si>
  <si>
    <t>ACCOUNT TITLE</t>
  </si>
  <si>
    <t>REFUND</t>
  </si>
  <si>
    <t>KIND OF LOAN</t>
  </si>
  <si>
    <t>AMOUNT</t>
  </si>
  <si>
    <t>EMPLOYEE NO.</t>
  </si>
  <si>
    <t>REMARKS ON LEAVE</t>
  </si>
  <si>
    <t>NO OF DAYS LEAVE (WD)</t>
  </si>
  <si>
    <t>NO OF DAYS LEAVE (CD)</t>
  </si>
  <si>
    <t>ML (WD)</t>
  </si>
  <si>
    <t>ML (CD)</t>
  </si>
  <si>
    <t>MAGNA CARTA (WD)</t>
  </si>
  <si>
    <t>MAGNA CARTA (CD)</t>
  </si>
  <si>
    <t>Legend:</t>
  </si>
  <si>
    <t>WD</t>
  </si>
  <si>
    <t>CD</t>
  </si>
  <si>
    <t>WORKING DAY</t>
  </si>
  <si>
    <t>CALENDAR DAY</t>
  </si>
  <si>
    <t>EA</t>
  </si>
  <si>
    <t>EMPLOYEES ASSOCIATION</t>
  </si>
  <si>
    <t>BATCH NO.</t>
  </si>
  <si>
    <t>DATE OF APPOINTMENT</t>
  </si>
  <si>
    <t>DATE ORF PROMOTION</t>
  </si>
  <si>
    <t>BATCH YEAR</t>
  </si>
  <si>
    <t>LBP ACCOUNT NO.</t>
  </si>
  <si>
    <t>LEGEND:</t>
  </si>
  <si>
    <t>REMPLOYMENT (1)</t>
  </si>
  <si>
    <t>REMPLOYMENT (2)</t>
  </si>
  <si>
    <t>REMPLOYMENT (3)</t>
  </si>
  <si>
    <t>REMPLOYMENT (4)</t>
  </si>
  <si>
    <t>REMPLOYMENT (5)</t>
  </si>
  <si>
    <t>No. of Terms</t>
  </si>
  <si>
    <t>HDMF
(GS)</t>
  </si>
  <si>
    <t>EA
DEUCTION</t>
  </si>
  <si>
    <t>GROSS MANDATORY DEDUCTIONS</t>
  </si>
  <si>
    <t>COMPENSATION</t>
  </si>
  <si>
    <t>OTHER DEDCUTIONS</t>
  </si>
  <si>
    <t>OTHER LOANS</t>
  </si>
  <si>
    <t>LAST NAME</t>
  </si>
  <si>
    <t>FIRST NAME</t>
  </si>
  <si>
    <t>MIDDLE NAME</t>
  </si>
  <si>
    <t>SUFFIX</t>
  </si>
  <si>
    <t>FULL NAME</t>
  </si>
  <si>
    <t>XX</t>
  </si>
  <si>
    <t>X</t>
  </si>
  <si>
    <t>NET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</si>
</sst>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0_);_(* \(#,##0.000\);_(* &quot;-&quot;??_);_(@_)"/>
    <numFmt numFmtId="165" formatCode="_(* #,##0.00_);_(* \(#,##0.00\);_(* &quot;-&quot;??_);_(@_)"/>
    <numFmt numFmtId="166" formatCode="_-* #,##0.00_-;\-* #,##0.00_-;_-* &quot;-&quot;??_-;_-@"/>
    <numFmt numFmtId="167" formatCode="#,##0.00;[Red]#,##0.00"/>
  </numFmts>
  <fonts count="25" x14ac:knownFonts="1">
    <font>
      <sz val="11"/>
      <color theme="1"/>
      <name val="Aptos Narrow"/>
      <family val="2"/>
      <scheme val="minor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color theme="1"/>
      <name val="Arial Narrow"/>
      <family val="2"/>
    </font>
    <font>
      <sz val="9"/>
      <color theme="1"/>
      <name val="Arial Narrow"/>
      <family val="2"/>
    </font>
    <font>
      <sz val="9"/>
      <color rgb="FFFF0000"/>
      <name val="Arial Narrow"/>
      <family val="2"/>
    </font>
    <font>
      <sz val="9"/>
      <color theme="4"/>
      <name val="Arial Narrow"/>
      <family val="2"/>
    </font>
    <font>
      <b/>
      <sz val="9"/>
      <color rgb="FF000000"/>
      <name val="Arial Narrow"/>
      <family val="2"/>
    </font>
    <font>
      <b/>
      <sz val="9"/>
      <color rgb="FFFF0000"/>
      <name val="Arial Narrow"/>
      <family val="2"/>
    </font>
    <font>
      <sz val="8"/>
      <color theme="1"/>
      <name val="Arial Narrow"/>
      <family val="2"/>
    </font>
    <font>
      <sz val="9"/>
      <color theme="0"/>
      <name val="Arial Narrow"/>
      <family val="2"/>
    </font>
    <font>
      <b/>
      <sz val="9"/>
      <color theme="0"/>
      <name val="Arial Narrow"/>
      <family val="2"/>
    </font>
    <font>
      <b/>
      <u/>
      <sz val="9"/>
      <color theme="1"/>
      <name val="Arial Narrow"/>
      <family val="2"/>
    </font>
    <font>
      <b/>
      <u/>
      <sz val="9"/>
      <color rgb="FF000000"/>
      <name val="Arial Narrow"/>
      <family val="2"/>
    </font>
    <font>
      <sz val="11"/>
      <name val="Calibri"/>
      <family val="2"/>
    </font>
    <font>
      <sz val="9"/>
      <color rgb="FF000000"/>
      <name val="Arial Narrow"/>
      <family val="2"/>
    </font>
    <font>
      <b/>
      <sz val="9"/>
      <color theme="4"/>
      <name val="Arial Narrow"/>
      <family val="2"/>
    </font>
    <font>
      <u/>
      <sz val="9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6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21" fillId="0" borderId="0"/>
  </cellStyleXfs>
  <cellXfs count="239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165" fontId="6" fillId="0" borderId="0" xfId="0" applyNumberFormat="1" applyFont="1" applyAlignment="1">
      <alignment shrinkToFit="1"/>
    </xf>
    <xf numFmtId="165" fontId="6" fillId="0" borderId="0" xfId="0" applyNumberFormat="1" applyFont="1"/>
    <xf numFmtId="166" fontId="8" fillId="0" borderId="0" xfId="0" applyNumberFormat="1" applyFont="1"/>
    <xf numFmtId="165" fontId="8" fillId="3" borderId="0" xfId="0" applyNumberFormat="1" applyFont="1" applyFill="1"/>
    <xf numFmtId="0" fontId="6" fillId="0" borderId="4" xfId="0" applyFont="1" applyBorder="1" applyAlignment="1">
      <alignment vertical="top"/>
    </xf>
    <xf numFmtId="0" fontId="6" fillId="0" borderId="4" xfId="0" applyFont="1" applyBorder="1"/>
    <xf numFmtId="43" fontId="6" fillId="0" borderId="0" xfId="1" applyFont="1" applyAlignment="1"/>
    <xf numFmtId="0" fontId="6" fillId="3" borderId="6" xfId="0" applyFont="1" applyFill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43" fontId="1" fillId="0" borderId="0" xfId="1" applyFont="1" applyBorder="1" applyAlignment="1">
      <alignment horizontal="center"/>
    </xf>
    <xf numFmtId="164" fontId="12" fillId="3" borderId="0" xfId="0" applyNumberFormat="1" applyFont="1" applyFill="1"/>
    <xf numFmtId="167" fontId="7" fillId="0" borderId="0" xfId="0" applyNumberFormat="1" applyFont="1" applyAlignment="1">
      <alignment horizontal="right"/>
    </xf>
    <xf numFmtId="165" fontId="8" fillId="0" borderId="0" xfId="0" applyNumberFormat="1" applyFont="1"/>
    <xf numFmtId="43" fontId="6" fillId="3" borderId="0" xfId="1" applyFont="1" applyFill="1" applyBorder="1" applyAlignment="1"/>
    <xf numFmtId="165" fontId="1" fillId="0" borderId="0" xfId="0" applyNumberFormat="1" applyFont="1"/>
    <xf numFmtId="165" fontId="18" fillId="0" borderId="0" xfId="0" applyNumberFormat="1" applyFont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43" fontId="6" fillId="0" borderId="0" xfId="1" applyFont="1" applyBorder="1" applyAlignment="1">
      <alignment vertical="top"/>
    </xf>
    <xf numFmtId="0" fontId="6" fillId="0" borderId="8" xfId="0" applyFont="1" applyBorder="1" applyAlignment="1">
      <alignment vertical="top"/>
    </xf>
    <xf numFmtId="43" fontId="1" fillId="0" borderId="0" xfId="1" applyFont="1" applyAlignment="1"/>
    <xf numFmtId="0" fontId="6" fillId="3" borderId="9" xfId="0" applyFont="1" applyFill="1" applyBorder="1" applyAlignment="1">
      <alignment horizontal="right"/>
    </xf>
    <xf numFmtId="0" fontId="6" fillId="3" borderId="10" xfId="0" applyFont="1" applyFill="1" applyBorder="1" applyAlignment="1">
      <alignment horizontal="center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2" xfId="0" applyFont="1" applyBorder="1" applyAlignment="1">
      <alignment horizontal="center" vertical="top"/>
    </xf>
    <xf numFmtId="0" fontId="6" fillId="0" borderId="6" xfId="0" applyFont="1" applyBorder="1"/>
    <xf numFmtId="43" fontId="1" fillId="0" borderId="0" xfId="1" applyFont="1" applyBorder="1" applyAlignment="1"/>
    <xf numFmtId="0" fontId="15" fillId="0" borderId="0" xfId="0" applyFont="1" applyAlignment="1">
      <alignment vertical="center"/>
    </xf>
    <xf numFmtId="43" fontId="1" fillId="0" borderId="0" xfId="1" applyFont="1" applyBorder="1" applyAlignment="1">
      <alignment horizontal="left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43" fontId="6" fillId="0" borderId="0" xfId="1" applyFont="1" applyBorder="1" applyAlignment="1">
      <alignment horizontal="left" vertical="top"/>
    </xf>
    <xf numFmtId="0" fontId="6" fillId="0" borderId="10" xfId="0" applyFont="1" applyBorder="1"/>
    <xf numFmtId="0" fontId="6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0" xfId="0" applyFont="1" applyBorder="1"/>
    <xf numFmtId="0" fontId="1" fillId="0" borderId="10" xfId="0" applyFont="1" applyBorder="1" applyAlignment="1">
      <alignment horizontal="center"/>
    </xf>
    <xf numFmtId="0" fontId="6" fillId="0" borderId="14" xfId="0" applyFont="1" applyBorder="1"/>
    <xf numFmtId="0" fontId="6" fillId="0" borderId="14" xfId="0" applyFont="1" applyBorder="1" applyAlignment="1">
      <alignment vertical="top"/>
    </xf>
    <xf numFmtId="0" fontId="6" fillId="0" borderId="14" xfId="0" applyFont="1" applyBorder="1" applyAlignment="1">
      <alignment horizontal="center"/>
    </xf>
    <xf numFmtId="0" fontId="14" fillId="3" borderId="0" xfId="0" applyFont="1" applyFill="1"/>
    <xf numFmtId="0" fontId="14" fillId="0" borderId="0" xfId="0" applyFont="1"/>
    <xf numFmtId="0" fontId="6" fillId="0" borderId="0" xfId="0" applyFont="1" applyAlignment="1">
      <alignment horizontal="left"/>
    </xf>
    <xf numFmtId="165" fontId="7" fillId="0" borderId="0" xfId="0" applyNumberFormat="1" applyFont="1"/>
    <xf numFmtId="167" fontId="1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 shrinkToFit="1"/>
    </xf>
    <xf numFmtId="165" fontId="1" fillId="0" borderId="0" xfId="0" applyNumberFormat="1" applyFont="1" applyAlignment="1">
      <alignment shrinkToFit="1"/>
    </xf>
    <xf numFmtId="167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 shrinkToFit="1"/>
    </xf>
    <xf numFmtId="165" fontId="10" fillId="0" borderId="0" xfId="0" applyNumberFormat="1" applyFont="1" applyAlignment="1">
      <alignment shrinkToFit="1"/>
    </xf>
    <xf numFmtId="0" fontId="15" fillId="0" borderId="0" xfId="0" applyFont="1" applyAlignment="1">
      <alignment horizontal="center"/>
    </xf>
    <xf numFmtId="165" fontId="6" fillId="0" borderId="0" xfId="0" applyNumberFormat="1" applyFont="1" applyAlignment="1">
      <alignment horizontal="left" shrinkToFit="1"/>
    </xf>
    <xf numFmtId="165" fontId="10" fillId="0" borderId="0" xfId="0" applyNumberFormat="1" applyFont="1"/>
    <xf numFmtId="0" fontId="1" fillId="0" borderId="0" xfId="0" applyFont="1" applyAlignment="1">
      <alignment horizontal="center" vertical="top"/>
    </xf>
    <xf numFmtId="167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7" fontId="6" fillId="0" borderId="0" xfId="0" applyNumberFormat="1" applyFont="1"/>
    <xf numFmtId="167" fontId="7" fillId="0" borderId="0" xfId="0" applyNumberFormat="1" applyFont="1"/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165" fontId="6" fillId="0" borderId="4" xfId="0" applyNumberFormat="1" applyFont="1" applyBorder="1"/>
    <xf numFmtId="165" fontId="6" fillId="0" borderId="5" xfId="0" applyNumberFormat="1" applyFont="1" applyBorder="1"/>
    <xf numFmtId="0" fontId="6" fillId="0" borderId="7" xfId="0" applyFont="1" applyBorder="1" applyAlignment="1">
      <alignment horizontal="right"/>
    </xf>
    <xf numFmtId="0" fontId="10" fillId="4" borderId="0" xfId="0" applyFont="1" applyFill="1" applyAlignment="1">
      <alignment horizontal="center"/>
    </xf>
    <xf numFmtId="0" fontId="10" fillId="0" borderId="8" xfId="0" applyFont="1" applyBorder="1" applyAlignment="1">
      <alignment horizontal="center"/>
    </xf>
    <xf numFmtId="0" fontId="15" fillId="0" borderId="0" xfId="0" applyFont="1"/>
    <xf numFmtId="0" fontId="14" fillId="3" borderId="8" xfId="0" applyFont="1" applyFill="1" applyBorder="1"/>
    <xf numFmtId="0" fontId="6" fillId="0" borderId="16" xfId="0" applyFont="1" applyBorder="1" applyAlignment="1">
      <alignment horizontal="right"/>
    </xf>
    <xf numFmtId="0" fontId="1" fillId="0" borderId="17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14" fillId="0" borderId="8" xfId="0" applyFont="1" applyBorder="1"/>
    <xf numFmtId="0" fontId="6" fillId="0" borderId="13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167" fontId="6" fillId="0" borderId="18" xfId="0" applyNumberFormat="1" applyFont="1" applyBorder="1" applyAlignment="1">
      <alignment horizontal="right"/>
    </xf>
    <xf numFmtId="167" fontId="7" fillId="0" borderId="14" xfId="0" applyNumberFormat="1" applyFont="1" applyBorder="1" applyAlignment="1">
      <alignment horizontal="right"/>
    </xf>
    <xf numFmtId="0" fontId="10" fillId="0" borderId="19" xfId="0" applyFont="1" applyBorder="1" applyAlignment="1">
      <alignment horizontal="center"/>
    </xf>
    <xf numFmtId="165" fontId="6" fillId="0" borderId="0" xfId="0" applyNumberFormat="1" applyFont="1" applyAlignment="1">
      <alignment horizontal="left"/>
    </xf>
    <xf numFmtId="39" fontId="19" fillId="0" borderId="0" xfId="0" applyNumberFormat="1" applyFont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center" wrapText="1"/>
    </xf>
    <xf numFmtId="0" fontId="5" fillId="2" borderId="20" xfId="0" applyFont="1" applyFill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0" fillId="0" borderId="20" xfId="0" applyBorder="1"/>
    <xf numFmtId="0" fontId="0" fillId="4" borderId="0" xfId="0" applyFill="1"/>
    <xf numFmtId="43" fontId="6" fillId="0" borderId="0" xfId="1" applyFont="1" applyBorder="1" applyAlignment="1">
      <alignment horizontal="center"/>
    </xf>
    <xf numFmtId="0" fontId="9" fillId="0" borderId="0" xfId="0" applyFont="1" applyAlignment="1">
      <alignment vertical="top"/>
    </xf>
    <xf numFmtId="0" fontId="6" fillId="3" borderId="0" xfId="0" applyFont="1" applyFill="1"/>
    <xf numFmtId="0" fontId="17" fillId="0" borderId="0" xfId="0" applyFont="1"/>
    <xf numFmtId="0" fontId="1" fillId="0" borderId="0" xfId="0" applyFont="1"/>
    <xf numFmtId="165" fontId="1" fillId="0" borderId="0" xfId="0" applyNumberFormat="1" applyFont="1" applyAlignment="1">
      <alignment horizontal="left"/>
    </xf>
    <xf numFmtId="43" fontId="6" fillId="0" borderId="0" xfId="1" applyFont="1" applyBorder="1" applyAlignment="1"/>
    <xf numFmtId="0" fontId="1" fillId="3" borderId="1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3" borderId="7" xfId="0" applyFont="1" applyFill="1" applyBorder="1" applyAlignment="1">
      <alignment horizontal="right"/>
    </xf>
    <xf numFmtId="0" fontId="14" fillId="3" borderId="7" xfId="0" applyFont="1" applyFill="1" applyBorder="1"/>
    <xf numFmtId="0" fontId="6" fillId="0" borderId="7" xfId="0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1" fillId="3" borderId="17" xfId="0" applyFont="1" applyFill="1" applyBorder="1" applyAlignment="1">
      <alignment horizontal="center"/>
    </xf>
    <xf numFmtId="0" fontId="14" fillId="0" borderId="7" xfId="0" applyFont="1" applyBorder="1"/>
    <xf numFmtId="0" fontId="6" fillId="0" borderId="13" xfId="0" applyFont="1" applyBorder="1"/>
    <xf numFmtId="0" fontId="10" fillId="0" borderId="14" xfId="0" applyFont="1" applyBorder="1" applyAlignment="1">
      <alignment horizontal="center"/>
    </xf>
    <xf numFmtId="0" fontId="10" fillId="0" borderId="14" xfId="0" applyFont="1" applyBorder="1"/>
    <xf numFmtId="165" fontId="7" fillId="0" borderId="4" xfId="0" applyNumberFormat="1" applyFont="1" applyBorder="1"/>
    <xf numFmtId="0" fontId="10" fillId="4" borderId="8" xfId="0" applyFont="1" applyFill="1" applyBorder="1" applyAlignment="1">
      <alignment horizontal="center"/>
    </xf>
    <xf numFmtId="0" fontId="15" fillId="0" borderId="7" xfId="0" applyFont="1" applyBorder="1"/>
    <xf numFmtId="0" fontId="0" fillId="0" borderId="8" xfId="0" applyBorder="1"/>
    <xf numFmtId="0" fontId="6" fillId="0" borderId="13" xfId="0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0" fillId="4" borderId="19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7" xfId="0" applyFont="1" applyBorder="1"/>
    <xf numFmtId="0" fontId="7" fillId="4" borderId="8" xfId="0" applyFont="1" applyFill="1" applyBorder="1" applyAlignment="1">
      <alignment horizontal="center" vertical="top"/>
    </xf>
    <xf numFmtId="167" fontId="6" fillId="0" borderId="13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0" fillId="0" borderId="21" xfId="0" applyBorder="1"/>
    <xf numFmtId="0" fontId="1" fillId="0" borderId="2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2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2" fillId="6" borderId="0" xfId="0" applyFont="1" applyFill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2" xfId="0" applyFont="1" applyBorder="1"/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wrapText="1"/>
    </xf>
    <xf numFmtId="0" fontId="1" fillId="0" borderId="23" xfId="0" applyFont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6" fillId="0" borderId="25" xfId="0" applyFont="1" applyBorder="1"/>
    <xf numFmtId="0" fontId="1" fillId="0" borderId="26" xfId="0" applyFont="1" applyBorder="1" applyAlignment="1">
      <alignment horizontal="center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4" xfId="0" applyFont="1" applyBorder="1" applyAlignment="1">
      <alignment horizontal="center"/>
    </xf>
    <xf numFmtId="0" fontId="6" fillId="0" borderId="10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right"/>
    </xf>
    <xf numFmtId="0" fontId="1" fillId="0" borderId="22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0" fillId="0" borderId="31" xfId="0" applyBorder="1"/>
    <xf numFmtId="0" fontId="1" fillId="5" borderId="32" xfId="0" applyFont="1" applyFill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0" fillId="0" borderId="33" xfId="0" applyBorder="1"/>
    <xf numFmtId="0" fontId="0" fillId="0" borderId="34" xfId="0" applyBorder="1"/>
    <xf numFmtId="0" fontId="2" fillId="0" borderId="38" xfId="0" applyFont="1" applyBorder="1" applyAlignment="1">
      <alignment horizontal="center" wrapText="1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2" xfId="0" applyBorder="1" applyAlignment="1">
      <alignment horizontal="center"/>
    </xf>
    <xf numFmtId="0" fontId="5" fillId="2" borderId="21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43" fontId="6" fillId="0" borderId="0" xfId="1" applyFont="1" applyFill="1" applyBorder="1" applyAlignment="1">
      <alignment horizontal="center"/>
    </xf>
    <xf numFmtId="43" fontId="1" fillId="0" borderId="0" xfId="1" applyFont="1" applyFill="1" applyBorder="1" applyAlignment="1">
      <alignment horizontal="center"/>
    </xf>
    <xf numFmtId="43" fontId="6" fillId="0" borderId="0" xfId="1" applyFont="1" applyFill="1" applyBorder="1" applyAlignment="1"/>
    <xf numFmtId="43" fontId="6" fillId="0" borderId="0" xfId="1" applyFont="1" applyFill="1" applyBorder="1" applyAlignment="1">
      <alignment vertical="top"/>
    </xf>
    <xf numFmtId="43" fontId="1" fillId="0" borderId="0" xfId="1" applyFont="1" applyFill="1" applyBorder="1" applyAlignment="1"/>
    <xf numFmtId="43" fontId="1" fillId="0" borderId="0" xfId="1" applyFont="1" applyFill="1" applyBorder="1" applyAlignment="1">
      <alignment horizontal="left"/>
    </xf>
    <xf numFmtId="43" fontId="6" fillId="0" borderId="0" xfId="1" applyFont="1" applyFill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2" fillId="5" borderId="26" xfId="0" applyFont="1" applyFill="1" applyBorder="1" applyAlignment="1">
      <alignment horizontal="center" wrapText="1"/>
    </xf>
    <xf numFmtId="0" fontId="2" fillId="0" borderId="35" xfId="0" applyFont="1" applyBorder="1" applyAlignment="1">
      <alignment horizont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wrapText="1"/>
    </xf>
    <xf numFmtId="0" fontId="2" fillId="0" borderId="33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/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23" xfId="0" applyFont="1" applyFill="1" applyBorder="1" applyAlignment="1">
      <alignment horizont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wrapText="1"/>
    </xf>
    <xf numFmtId="0" fontId="1" fillId="5" borderId="47" xfId="0" applyFont="1" applyFill="1" applyBorder="1" applyAlignment="1">
      <alignment horizontal="center" wrapText="1"/>
    </xf>
    <xf numFmtId="0" fontId="1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0" fillId="0" borderId="0" xfId="0"/>
    <xf numFmtId="0" fontId="14" fillId="0" borderId="0" xfId="0" applyFont="1" applyAlignment="1">
      <alignment horizontal="center"/>
    </xf>
    <xf numFmtId="0" fontId="16" fillId="0" borderId="0" xfId="0" applyFont="1"/>
    <xf numFmtId="0" fontId="11" fillId="0" borderId="0" xfId="0" applyFont="1" applyAlignment="1">
      <alignment horizontal="left"/>
    </xf>
    <xf numFmtId="0" fontId="14" fillId="3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4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9" xfId="0" applyBorder="1" applyAlignment="1">
      <alignment horizontal="center" wrapText="1"/>
    </xf>
  </cellXfs>
  <cellStyles count="3">
    <cellStyle name="Comma" xfId="1" builtinId="3"/>
    <cellStyle name="Normal" xfId="0" builtinId="0"/>
    <cellStyle name="Normal 2" xfId="2" xr:uid="{41A15F83-639B-4E12-8661-899D534CA24E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5133-94A9-4728-B437-E190DE12656B}">
  <sheetPr>
    <pageSetUpPr fitToPage="1"/>
  </sheetPr>
  <dimension ref="A1:GW41"/>
  <sheetViews>
    <sheetView tabSelected="1" view="pageBreakPreview" zoomScale="150" zoomScaleNormal="53" zoomScaleSheetLayoutView="150" workbookViewId="0">
      <selection activeCell="AQ3" sqref="AQ3:AR3"/>
    </sheetView>
  </sheetViews>
  <sheetFormatPr defaultRowHeight="15" x14ac:dyDescent="0.25"/>
  <cols>
    <col min="1" max="1" width="5.28515625" customWidth="1"/>
    <col min="2" max="5" width="19" hidden="1" customWidth="1"/>
    <col min="6" max="8" width="19.28515625" hidden="1" customWidth="1"/>
    <col min="9" max="9" width="13.85546875" hidden="1" customWidth="1"/>
    <col min="10" max="11" width="19.28515625" hidden="1" customWidth="1"/>
    <col min="14" max="15" width="3" customWidth="1"/>
    <col min="17" max="27" width="9.140625" hidden="1" customWidth="1"/>
    <col min="32" max="32" width="2.140625" customWidth="1"/>
    <col min="38" max="38" width="16" customWidth="1"/>
    <col min="39" max="39" width="2" customWidth="1"/>
    <col min="40" max="47" width="6.85546875" customWidth="1"/>
    <col min="48" max="48" width="2.7109375" customWidth="1"/>
    <col min="57" max="57" width="15" customWidth="1"/>
    <col min="58" max="58" width="2.5703125" customWidth="1"/>
    <col min="59" max="59" width="4.5703125" hidden="1" customWidth="1"/>
    <col min="60" max="60" width="3.85546875" hidden="1" customWidth="1"/>
    <col min="61" max="61" width="2.140625" hidden="1" customWidth="1"/>
    <col min="62" max="62" width="4.140625" hidden="1" customWidth="1"/>
    <col min="64" max="65" width="4.42578125" hidden="1" customWidth="1"/>
    <col min="66" max="66" width="2.85546875" hidden="1" customWidth="1"/>
    <col min="67" max="67" width="4.42578125" hidden="1" customWidth="1"/>
    <col min="69" max="70" width="4.140625" hidden="1" customWidth="1"/>
    <col min="71" max="71" width="2.28515625" hidden="1" customWidth="1"/>
    <col min="72" max="72" width="4.140625" hidden="1" customWidth="1"/>
    <col min="74" max="75" width="3.42578125" hidden="1" customWidth="1"/>
    <col min="76" max="76" width="2.42578125" hidden="1" customWidth="1"/>
    <col min="77" max="77" width="3.42578125" hidden="1" customWidth="1"/>
    <col min="79" max="80" width="3.85546875" hidden="1" customWidth="1"/>
    <col min="81" max="81" width="2.28515625" hidden="1" customWidth="1"/>
    <col min="82" max="82" width="3.85546875" hidden="1" customWidth="1"/>
    <col min="84" max="85" width="3.42578125" hidden="1" customWidth="1"/>
    <col min="86" max="86" width="2.85546875" hidden="1" customWidth="1"/>
    <col min="87" max="87" width="3.42578125" hidden="1" customWidth="1"/>
    <col min="89" max="90" width="3.5703125" hidden="1" customWidth="1"/>
    <col min="91" max="91" width="2.7109375" hidden="1" customWidth="1"/>
    <col min="92" max="92" width="3.5703125" hidden="1" customWidth="1"/>
    <col min="94" max="95" width="4.140625" hidden="1" customWidth="1"/>
    <col min="96" max="96" width="2.85546875" hidden="1" customWidth="1"/>
    <col min="97" max="97" width="4.140625" hidden="1" customWidth="1"/>
    <col min="99" max="100" width="3.7109375" hidden="1" customWidth="1"/>
    <col min="101" max="101" width="2.42578125" hidden="1" customWidth="1"/>
    <col min="102" max="102" width="3.7109375" hidden="1" customWidth="1"/>
    <col min="104" max="105" width="3.85546875" hidden="1" customWidth="1"/>
    <col min="106" max="106" width="2.5703125" hidden="1" customWidth="1"/>
    <col min="107" max="107" width="3.85546875" hidden="1" customWidth="1"/>
    <col min="109" max="109" width="2.28515625" customWidth="1"/>
    <col min="110" max="111" width="4" hidden="1" customWidth="1"/>
    <col min="112" max="112" width="2.28515625" hidden="1" customWidth="1"/>
    <col min="113" max="113" width="4" hidden="1" customWidth="1"/>
    <col min="115" max="116" width="3.42578125" hidden="1" customWidth="1"/>
    <col min="117" max="117" width="2.42578125" hidden="1" customWidth="1"/>
    <col min="118" max="118" width="3.42578125" hidden="1" customWidth="1"/>
    <col min="120" max="121" width="3.85546875" hidden="1" customWidth="1"/>
    <col min="122" max="122" width="2.42578125" hidden="1" customWidth="1"/>
    <col min="123" max="123" width="3.85546875" hidden="1" customWidth="1"/>
    <col min="125" max="126" width="3.85546875" hidden="1" customWidth="1"/>
    <col min="127" max="127" width="2.5703125" hidden="1" customWidth="1"/>
    <col min="128" max="128" width="3.85546875" hidden="1" customWidth="1"/>
    <col min="130" max="131" width="3.5703125" hidden="1" customWidth="1"/>
    <col min="132" max="132" width="2.28515625" hidden="1" customWidth="1"/>
    <col min="133" max="133" width="3.5703125" hidden="1" customWidth="1"/>
    <col min="135" max="135" width="2.140625" customWidth="1"/>
    <col min="140" max="140" width="1.5703125" customWidth="1"/>
    <col min="144" max="144" width="16.5703125" customWidth="1"/>
    <col min="145" max="145" width="16" customWidth="1"/>
    <col min="146" max="146" width="2" customWidth="1"/>
    <col min="147" max="147" width="8.7109375" customWidth="1"/>
    <col min="149" max="149" width="2.85546875" customWidth="1"/>
    <col min="150" max="153" width="9.7109375" customWidth="1"/>
    <col min="154" max="154" width="19.140625" customWidth="1"/>
    <col min="155" max="156" width="16" customWidth="1"/>
    <col min="157" max="157" width="19.85546875" customWidth="1"/>
    <col min="161" max="161" width="15" customWidth="1"/>
    <col min="163" max="163" width="22.7109375" bestFit="1" customWidth="1"/>
    <col min="164" max="165" width="19.140625" customWidth="1"/>
    <col min="166" max="166" width="17.5703125" customWidth="1"/>
    <col min="168" max="168" width="16.5703125" customWidth="1"/>
  </cols>
  <sheetData>
    <row r="1" spans="1:205" ht="15.75" thickBot="1" x14ac:dyDescent="0.3">
      <c r="AB1" s="233" t="s">
        <v>60</v>
      </c>
      <c r="AC1" s="235"/>
      <c r="AD1" s="235"/>
      <c r="AE1" s="235"/>
      <c r="AF1" s="235"/>
      <c r="AG1" s="235"/>
      <c r="AH1" s="235"/>
      <c r="AI1" s="235"/>
      <c r="AJ1" s="235"/>
      <c r="AK1" s="235"/>
      <c r="AL1" s="234"/>
      <c r="AN1" s="233" t="s">
        <v>30</v>
      </c>
      <c r="AO1" s="235"/>
      <c r="AP1" s="235"/>
      <c r="AQ1" s="235"/>
      <c r="AR1" s="235"/>
      <c r="AS1" s="235"/>
      <c r="AT1" s="235"/>
      <c r="AU1" s="235"/>
      <c r="AV1" s="226"/>
      <c r="AW1" s="235"/>
      <c r="AX1" s="235"/>
      <c r="AY1" s="235"/>
      <c r="AZ1" s="235"/>
      <c r="BA1" s="235"/>
      <c r="BB1" s="235"/>
      <c r="BC1" s="235"/>
      <c r="BD1" s="235"/>
      <c r="BE1" s="235"/>
      <c r="BF1" s="1"/>
      <c r="BG1" s="233" t="s">
        <v>159</v>
      </c>
      <c r="BH1" s="235"/>
      <c r="BI1" s="235"/>
      <c r="BJ1" s="235"/>
      <c r="BK1" s="235"/>
      <c r="BL1" s="235"/>
      <c r="BM1" s="235"/>
      <c r="BN1" s="235"/>
      <c r="BO1" s="235"/>
      <c r="BP1" s="235"/>
      <c r="BQ1" s="235"/>
      <c r="BR1" s="235"/>
      <c r="BS1" s="235"/>
      <c r="BT1" s="235"/>
      <c r="BU1" s="235"/>
      <c r="BV1" s="235"/>
      <c r="BW1" s="235"/>
      <c r="BX1" s="235"/>
      <c r="BY1" s="235"/>
      <c r="BZ1" s="235"/>
      <c r="CA1" s="235"/>
      <c r="CB1" s="235"/>
      <c r="CC1" s="235"/>
      <c r="CD1" s="235"/>
      <c r="CE1" s="235"/>
      <c r="CF1" s="235"/>
      <c r="CG1" s="235"/>
      <c r="CH1" s="235"/>
      <c r="CI1" s="235"/>
      <c r="CJ1" s="235"/>
      <c r="CK1" s="235"/>
      <c r="CL1" s="235"/>
      <c r="CM1" s="235"/>
      <c r="CN1" s="235"/>
      <c r="CO1" s="235"/>
      <c r="CP1" s="235"/>
      <c r="CQ1" s="235"/>
      <c r="CR1" s="235"/>
      <c r="CS1" s="235"/>
      <c r="CT1" s="235"/>
      <c r="CU1" s="235"/>
      <c r="CV1" s="235"/>
      <c r="CW1" s="235"/>
      <c r="CX1" s="235"/>
      <c r="CY1" s="235"/>
      <c r="CZ1" s="235"/>
      <c r="DA1" s="235"/>
      <c r="DB1" s="235"/>
      <c r="DC1" s="235"/>
      <c r="DD1" s="235"/>
      <c r="DE1" s="235"/>
      <c r="DF1" s="235"/>
      <c r="DG1" s="235"/>
      <c r="DH1" s="235"/>
      <c r="DI1" s="235"/>
      <c r="DJ1" s="235"/>
      <c r="DK1" s="235"/>
      <c r="DL1" s="235"/>
      <c r="DM1" s="235"/>
      <c r="DN1" s="235"/>
      <c r="DO1" s="235"/>
      <c r="DP1" s="235"/>
      <c r="DQ1" s="235"/>
      <c r="DR1" s="235"/>
      <c r="DS1" s="235"/>
      <c r="DT1" s="235"/>
      <c r="DU1" s="235"/>
      <c r="DV1" s="235"/>
      <c r="DW1" s="235"/>
      <c r="DX1" s="235"/>
      <c r="DY1" s="235"/>
      <c r="DZ1" s="235"/>
      <c r="EA1" s="235"/>
      <c r="EB1" s="235"/>
      <c r="EC1" s="235"/>
      <c r="ED1" s="235"/>
      <c r="EE1" s="235"/>
      <c r="EF1" s="235"/>
      <c r="EG1" s="235"/>
      <c r="EH1" s="235"/>
      <c r="EI1" s="235"/>
      <c r="EJ1" s="235"/>
      <c r="EK1" s="235"/>
      <c r="EL1" s="235"/>
      <c r="EM1" s="235"/>
      <c r="EN1" s="235"/>
      <c r="EO1" s="234"/>
    </row>
    <row r="2" spans="1:205" ht="11.45" customHeight="1" thickBot="1" x14ac:dyDescent="0.3">
      <c r="AB2" s="236" t="s">
        <v>158</v>
      </c>
      <c r="AC2" s="237"/>
      <c r="AD2" s="237"/>
      <c r="AE2" s="238"/>
      <c r="AG2" s="233" t="s">
        <v>22</v>
      </c>
      <c r="AH2" s="235"/>
      <c r="AI2" s="235"/>
      <c r="AJ2" s="234"/>
      <c r="AN2" s="233" t="s">
        <v>157</v>
      </c>
      <c r="AO2" s="235"/>
      <c r="AP2" s="235"/>
      <c r="AQ2" s="235"/>
      <c r="AR2" s="235"/>
      <c r="AS2" s="235"/>
      <c r="AT2" s="235"/>
      <c r="AU2" s="234"/>
      <c r="AV2" s="1"/>
      <c r="AW2" s="233" t="s">
        <v>22</v>
      </c>
      <c r="AX2" s="235"/>
      <c r="AY2" s="235"/>
      <c r="AZ2" s="235"/>
      <c r="BA2" s="235"/>
      <c r="BB2" s="235"/>
      <c r="BC2" s="235"/>
      <c r="BD2" s="234"/>
      <c r="BE2" s="180"/>
      <c r="BF2" s="1"/>
      <c r="BG2" s="194"/>
      <c r="BH2" s="1"/>
      <c r="BI2" s="1"/>
      <c r="BJ2" s="1"/>
      <c r="BK2" s="225" t="s">
        <v>41</v>
      </c>
      <c r="BL2" s="226"/>
      <c r="BM2" s="226"/>
      <c r="BN2" s="226"/>
      <c r="BO2" s="226"/>
      <c r="BP2" s="226"/>
      <c r="BQ2" s="226"/>
      <c r="BR2" s="226"/>
      <c r="BS2" s="226"/>
      <c r="BT2" s="226"/>
      <c r="BU2" s="226"/>
      <c r="BV2" s="226"/>
      <c r="BW2" s="226"/>
      <c r="BX2" s="226"/>
      <c r="BY2" s="226"/>
      <c r="BZ2" s="226"/>
      <c r="CA2" s="226"/>
      <c r="CB2" s="226"/>
      <c r="CC2" s="226"/>
      <c r="CD2" s="226"/>
      <c r="CE2" s="226"/>
      <c r="CF2" s="226"/>
      <c r="CG2" s="226"/>
      <c r="CH2" s="226"/>
      <c r="CI2" s="226"/>
      <c r="CJ2" s="226"/>
      <c r="CK2" s="226"/>
      <c r="CL2" s="226"/>
      <c r="CM2" s="226"/>
      <c r="CN2" s="226"/>
      <c r="CO2" s="226"/>
      <c r="CP2" s="226"/>
      <c r="CQ2" s="226"/>
      <c r="CR2" s="226"/>
      <c r="CS2" s="226"/>
      <c r="CT2" s="226"/>
      <c r="CU2" s="226"/>
      <c r="CV2" s="226"/>
      <c r="CW2" s="226"/>
      <c r="CX2" s="226"/>
      <c r="CY2" s="226"/>
      <c r="CZ2" s="226"/>
      <c r="DA2" s="226"/>
      <c r="DB2" s="226"/>
      <c r="DC2" s="226"/>
      <c r="DD2" s="227"/>
      <c r="DE2" s="1"/>
      <c r="DF2" s="194"/>
      <c r="DG2" s="1"/>
      <c r="DH2" s="1"/>
      <c r="DI2" s="1"/>
      <c r="DJ2" s="228" t="s">
        <v>47</v>
      </c>
      <c r="DK2" s="228"/>
      <c r="DL2" s="228"/>
      <c r="DM2" s="228"/>
      <c r="DN2" s="228"/>
      <c r="DO2" s="228"/>
      <c r="DP2" s="228"/>
      <c r="DQ2" s="228"/>
      <c r="DR2" s="228"/>
      <c r="DS2" s="228"/>
      <c r="DT2" s="228"/>
      <c r="DU2" s="228"/>
      <c r="DV2" s="228"/>
      <c r="DW2" s="228"/>
      <c r="DX2" s="228"/>
      <c r="DY2" s="228"/>
      <c r="DZ2" s="228"/>
      <c r="EA2" s="228"/>
      <c r="EB2" s="228"/>
      <c r="EC2" s="228"/>
      <c r="ED2" s="229"/>
      <c r="EE2" s="183"/>
      <c r="EF2" s="230" t="s">
        <v>160</v>
      </c>
      <c r="EG2" s="231"/>
      <c r="EH2" s="231"/>
      <c r="EI2" s="232"/>
      <c r="EJ2" s="1"/>
      <c r="EK2" s="230" t="s">
        <v>19</v>
      </c>
      <c r="EL2" s="231"/>
      <c r="EM2" s="232"/>
      <c r="EN2" s="178"/>
      <c r="EO2" s="179"/>
      <c r="EP2" s="1"/>
      <c r="EQ2" s="233" t="s">
        <v>125</v>
      </c>
      <c r="ER2" s="234"/>
      <c r="ES2" s="1"/>
      <c r="ET2" s="1"/>
      <c r="EU2" s="1"/>
      <c r="EV2" s="1"/>
    </row>
    <row r="3" spans="1:205" ht="50.25" customHeight="1" x14ac:dyDescent="0.25">
      <c r="A3" s="151" t="s">
        <v>0</v>
      </c>
      <c r="B3" s="152" t="s">
        <v>1</v>
      </c>
      <c r="C3" s="152" t="s">
        <v>114</v>
      </c>
      <c r="D3" s="152" t="s">
        <v>113</v>
      </c>
      <c r="E3" s="153" t="s">
        <v>115</v>
      </c>
      <c r="F3" s="152" t="s">
        <v>6</v>
      </c>
      <c r="G3" s="152" t="s">
        <v>7</v>
      </c>
      <c r="H3" s="152" t="s">
        <v>5</v>
      </c>
      <c r="I3" s="152" t="s">
        <v>2</v>
      </c>
      <c r="J3" s="152" t="s">
        <v>3</v>
      </c>
      <c r="K3" s="152" t="s">
        <v>4</v>
      </c>
      <c r="L3" s="152" t="s">
        <v>8</v>
      </c>
      <c r="M3" s="152" t="s">
        <v>9</v>
      </c>
      <c r="N3" s="152" t="s">
        <v>10</v>
      </c>
      <c r="O3" s="152" t="s">
        <v>11</v>
      </c>
      <c r="P3" s="154" t="s">
        <v>129</v>
      </c>
      <c r="Q3" s="155" t="s">
        <v>16</v>
      </c>
      <c r="R3" s="156" t="s">
        <v>18</v>
      </c>
      <c r="S3" s="155" t="s">
        <v>15</v>
      </c>
      <c r="T3" s="156" t="s">
        <v>17</v>
      </c>
      <c r="U3" s="156" t="s">
        <v>130</v>
      </c>
      <c r="V3" s="156" t="s">
        <v>131</v>
      </c>
      <c r="W3" s="156" t="s">
        <v>132</v>
      </c>
      <c r="X3" s="156" t="s">
        <v>133</v>
      </c>
      <c r="Y3" s="156" t="s">
        <v>134</v>
      </c>
      <c r="Z3" s="156" t="s">
        <v>135</v>
      </c>
      <c r="AA3" s="156" t="s">
        <v>19</v>
      </c>
      <c r="AB3" s="153" t="s">
        <v>12</v>
      </c>
      <c r="AC3" s="153" t="s">
        <v>20</v>
      </c>
      <c r="AD3" s="153" t="s">
        <v>14</v>
      </c>
      <c r="AE3" s="157" t="s">
        <v>13</v>
      </c>
      <c r="AF3" s="150"/>
      <c r="AG3" s="169" t="s">
        <v>12</v>
      </c>
      <c r="AH3" s="153" t="s">
        <v>20</v>
      </c>
      <c r="AI3" s="153" t="s">
        <v>14</v>
      </c>
      <c r="AJ3" s="153" t="s">
        <v>13</v>
      </c>
      <c r="AK3" s="171" t="s">
        <v>21</v>
      </c>
      <c r="AL3" s="173" t="s">
        <v>168</v>
      </c>
      <c r="AM3" s="150"/>
      <c r="AN3" s="205" t="s">
        <v>23</v>
      </c>
      <c r="AO3" s="206" t="s">
        <v>24</v>
      </c>
      <c r="AP3" s="206" t="s">
        <v>25</v>
      </c>
      <c r="AQ3" s="206" t="s">
        <v>26</v>
      </c>
      <c r="AR3" s="206" t="s">
        <v>27</v>
      </c>
      <c r="AS3" s="206" t="s">
        <v>28</v>
      </c>
      <c r="AT3" s="207" t="s">
        <v>155</v>
      </c>
      <c r="AU3" s="208" t="s">
        <v>156</v>
      </c>
      <c r="AV3" s="209"/>
      <c r="AW3" s="216" t="s">
        <v>23</v>
      </c>
      <c r="AX3" s="154" t="s">
        <v>24</v>
      </c>
      <c r="AY3" s="154" t="s">
        <v>25</v>
      </c>
      <c r="AZ3" s="154" t="s">
        <v>26</v>
      </c>
      <c r="BA3" s="154" t="s">
        <v>27</v>
      </c>
      <c r="BB3" s="154" t="s">
        <v>28</v>
      </c>
      <c r="BC3" s="154" t="s">
        <v>29</v>
      </c>
      <c r="BD3" s="217" t="s">
        <v>122</v>
      </c>
      <c r="BE3" s="214" t="s">
        <v>116</v>
      </c>
      <c r="BF3" s="150"/>
      <c r="BG3" s="182" t="s">
        <v>48</v>
      </c>
      <c r="BH3" s="106" t="s">
        <v>154</v>
      </c>
      <c r="BI3" s="106"/>
      <c r="BJ3" s="181"/>
      <c r="BK3" s="170" t="s">
        <v>31</v>
      </c>
      <c r="BL3" s="106" t="s">
        <v>48</v>
      </c>
      <c r="BM3" s="106" t="s">
        <v>154</v>
      </c>
      <c r="BN3" s="106"/>
      <c r="BO3" s="106"/>
      <c r="BP3" s="105" t="s">
        <v>32</v>
      </c>
      <c r="BQ3" s="106" t="s">
        <v>48</v>
      </c>
      <c r="BR3" s="106" t="s">
        <v>154</v>
      </c>
      <c r="BS3" s="106"/>
      <c r="BT3" s="106"/>
      <c r="BU3" s="105" t="s">
        <v>33</v>
      </c>
      <c r="BV3" s="106" t="s">
        <v>48</v>
      </c>
      <c r="BW3" s="106" t="s">
        <v>154</v>
      </c>
      <c r="BX3" s="106"/>
      <c r="BY3" s="106"/>
      <c r="BZ3" s="105" t="s">
        <v>34</v>
      </c>
      <c r="CA3" s="106" t="s">
        <v>48</v>
      </c>
      <c r="CB3" s="106" t="s">
        <v>154</v>
      </c>
      <c r="CC3" s="106"/>
      <c r="CD3" s="106"/>
      <c r="CE3" s="105" t="s">
        <v>39</v>
      </c>
      <c r="CF3" s="106" t="s">
        <v>48</v>
      </c>
      <c r="CG3" s="106" t="s">
        <v>154</v>
      </c>
      <c r="CH3" s="106"/>
      <c r="CI3" s="106"/>
      <c r="CJ3" s="105" t="s">
        <v>40</v>
      </c>
      <c r="CK3" s="106" t="s">
        <v>48</v>
      </c>
      <c r="CL3" s="106" t="s">
        <v>154</v>
      </c>
      <c r="CM3" s="106"/>
      <c r="CN3" s="106"/>
      <c r="CO3" s="105" t="s">
        <v>35</v>
      </c>
      <c r="CP3" s="106" t="s">
        <v>48</v>
      </c>
      <c r="CQ3" s="106" t="s">
        <v>154</v>
      </c>
      <c r="CR3" s="106"/>
      <c r="CS3" s="106"/>
      <c r="CT3" s="105" t="s">
        <v>38</v>
      </c>
      <c r="CU3" s="106" t="s">
        <v>48</v>
      </c>
      <c r="CV3" s="106" t="s">
        <v>154</v>
      </c>
      <c r="CW3" s="106"/>
      <c r="CX3" s="106"/>
      <c r="CY3" s="105" t="s">
        <v>36</v>
      </c>
      <c r="CZ3" s="106" t="s">
        <v>48</v>
      </c>
      <c r="DA3" s="106" t="s">
        <v>154</v>
      </c>
      <c r="DB3" s="106"/>
      <c r="DC3" s="106"/>
      <c r="DD3" s="159" t="s">
        <v>37</v>
      </c>
      <c r="DE3" s="150"/>
      <c r="DF3" s="182" t="s">
        <v>48</v>
      </c>
      <c r="DG3" s="106" t="s">
        <v>154</v>
      </c>
      <c r="DH3" s="106"/>
      <c r="DI3" s="181"/>
      <c r="DJ3" s="169" t="s">
        <v>42</v>
      </c>
      <c r="DK3" s="210" t="s">
        <v>48</v>
      </c>
      <c r="DL3" s="210" t="s">
        <v>154</v>
      </c>
      <c r="DM3" s="210"/>
      <c r="DN3" s="210"/>
      <c r="DO3" s="153" t="s">
        <v>43</v>
      </c>
      <c r="DP3" s="210" t="s">
        <v>49</v>
      </c>
      <c r="DQ3" s="210" t="s">
        <v>154</v>
      </c>
      <c r="DR3" s="210"/>
      <c r="DS3" s="210"/>
      <c r="DT3" s="153" t="s">
        <v>44</v>
      </c>
      <c r="DU3" s="210" t="s">
        <v>49</v>
      </c>
      <c r="DV3" s="210" t="s">
        <v>154</v>
      </c>
      <c r="DW3" s="210"/>
      <c r="DX3" s="210"/>
      <c r="DY3" s="153" t="s">
        <v>45</v>
      </c>
      <c r="DZ3" s="210" t="s">
        <v>49</v>
      </c>
      <c r="EA3" s="210" t="s">
        <v>154</v>
      </c>
      <c r="EB3" s="210"/>
      <c r="EC3" s="210"/>
      <c r="ED3" s="157" t="s">
        <v>46</v>
      </c>
      <c r="EE3" s="150"/>
      <c r="EF3" s="185" t="s">
        <v>50</v>
      </c>
      <c r="EG3" s="105" t="s">
        <v>51</v>
      </c>
      <c r="EH3" s="107" t="s">
        <v>52</v>
      </c>
      <c r="EI3" s="186" t="s">
        <v>54</v>
      </c>
      <c r="EJ3" s="184"/>
      <c r="EK3" s="170" t="s">
        <v>55</v>
      </c>
      <c r="EL3" s="105" t="s">
        <v>56</v>
      </c>
      <c r="EM3" s="186" t="s">
        <v>53</v>
      </c>
      <c r="EN3" s="185" t="s">
        <v>21</v>
      </c>
      <c r="EO3" s="195" t="s">
        <v>117</v>
      </c>
      <c r="EP3" s="184"/>
      <c r="EQ3" s="196" t="s">
        <v>126</v>
      </c>
      <c r="ER3" s="177" t="s">
        <v>127</v>
      </c>
      <c r="ES3" s="184"/>
      <c r="ET3" s="213" t="s">
        <v>120</v>
      </c>
      <c r="EU3" s="211" t="s">
        <v>121</v>
      </c>
      <c r="EV3" s="211" t="s">
        <v>118</v>
      </c>
      <c r="EW3" s="212" t="s">
        <v>119</v>
      </c>
      <c r="EX3" s="198" t="s">
        <v>57</v>
      </c>
      <c r="EY3" s="200" t="s">
        <v>58</v>
      </c>
      <c r="EZ3" s="198" t="s">
        <v>59</v>
      </c>
      <c r="FA3" s="201" t="s">
        <v>112</v>
      </c>
      <c r="FE3" s="142" t="s">
        <v>108</v>
      </c>
      <c r="FF3" s="142" t="s">
        <v>62</v>
      </c>
      <c r="FG3" s="142" t="s">
        <v>109</v>
      </c>
      <c r="FH3" s="142" t="s">
        <v>61</v>
      </c>
      <c r="FI3" s="142" t="s">
        <v>63</v>
      </c>
      <c r="FJ3" s="142" t="s">
        <v>21</v>
      </c>
      <c r="FK3" s="142" t="s">
        <v>111</v>
      </c>
      <c r="FL3" s="142" t="s">
        <v>110</v>
      </c>
      <c r="FM3" s="142" t="s">
        <v>63</v>
      </c>
    </row>
    <row r="4" spans="1:205" ht="19.5" hidden="1" x14ac:dyDescent="0.25">
      <c r="A4" s="158" t="s">
        <v>123</v>
      </c>
      <c r="B4" s="104"/>
      <c r="C4" s="104"/>
      <c r="D4" s="104"/>
      <c r="E4" s="105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5"/>
      <c r="S4" s="104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59"/>
      <c r="AF4" s="150"/>
      <c r="AG4" s="170"/>
      <c r="AH4" s="105"/>
      <c r="AI4" s="105"/>
      <c r="AJ4" s="105"/>
      <c r="AK4" s="149"/>
      <c r="AL4" s="174"/>
      <c r="AM4" s="150"/>
      <c r="AN4" s="170"/>
      <c r="AO4" s="105"/>
      <c r="AP4" s="105"/>
      <c r="AQ4" s="105"/>
      <c r="AR4" s="105"/>
      <c r="AS4" s="105"/>
      <c r="AT4" s="149"/>
      <c r="AU4" s="159"/>
      <c r="AV4" s="150"/>
      <c r="AW4" s="170"/>
      <c r="AX4" s="105"/>
      <c r="AY4" s="105"/>
      <c r="AZ4" s="105"/>
      <c r="BA4" s="105"/>
      <c r="BB4" s="105"/>
      <c r="BC4" s="105"/>
      <c r="BD4" s="159"/>
      <c r="BE4" s="215"/>
      <c r="BF4" s="150"/>
      <c r="BG4" s="182">
        <f>24</f>
        <v>24</v>
      </c>
      <c r="BH4" s="106">
        <v>36</v>
      </c>
      <c r="BI4" s="106">
        <v>1</v>
      </c>
      <c r="BJ4" s="181" t="str">
        <f>CONCATENATE(SUM(BG4+BI4),"/",BH4)</f>
        <v>25/36</v>
      </c>
      <c r="BK4" s="170"/>
      <c r="BL4" s="106"/>
      <c r="BM4" s="106">
        <v>36</v>
      </c>
      <c r="BN4" s="106">
        <v>1</v>
      </c>
      <c r="BO4" s="106" t="str">
        <f>CONCATENATE(SUM(BL4+BN4),"/",BM4)</f>
        <v>1/36</v>
      </c>
      <c r="BP4" s="105"/>
      <c r="BQ4" s="106"/>
      <c r="BR4" s="106">
        <v>36</v>
      </c>
      <c r="BS4" s="106">
        <v>1</v>
      </c>
      <c r="BT4" s="106" t="str">
        <f>CONCATENATE(SUM(BQ4+BS4),"/",BR4)</f>
        <v>1/36</v>
      </c>
      <c r="BU4" s="105"/>
      <c r="BV4" s="106"/>
      <c r="BW4" s="106">
        <v>36</v>
      </c>
      <c r="BX4" s="106">
        <v>1</v>
      </c>
      <c r="BY4" s="106" t="str">
        <f>CONCATENATE(SUM(BV4+BX4),"/",BW4)</f>
        <v>1/36</v>
      </c>
      <c r="BZ4" s="105"/>
      <c r="CA4" s="106"/>
      <c r="CB4" s="106">
        <v>36</v>
      </c>
      <c r="CC4" s="106">
        <v>1</v>
      </c>
      <c r="CD4" s="106" t="str">
        <f>CONCATENATE(SUM(CA4+CC4),"/",CB4)</f>
        <v>1/36</v>
      </c>
      <c r="CE4" s="105"/>
      <c r="CF4" s="106"/>
      <c r="CG4" s="106">
        <v>36</v>
      </c>
      <c r="CH4" s="106">
        <v>1</v>
      </c>
      <c r="CI4" s="106" t="str">
        <f>CONCATENATE(SUM(CF4+CH4),"/",CG4)</f>
        <v>1/36</v>
      </c>
      <c r="CJ4" s="105"/>
      <c r="CK4" s="106"/>
      <c r="CL4" s="106">
        <v>36</v>
      </c>
      <c r="CM4" s="106">
        <v>1</v>
      </c>
      <c r="CN4" s="106" t="str">
        <f>CONCATENATE(SUM(CK4+CM4),"/",CL4)</f>
        <v>1/36</v>
      </c>
      <c r="CO4" s="105"/>
      <c r="CP4" s="106"/>
      <c r="CQ4" s="106">
        <v>36</v>
      </c>
      <c r="CR4" s="106">
        <v>1</v>
      </c>
      <c r="CS4" s="106" t="str">
        <f>CONCATENATE(SUM(CP4+CR4),"/",CQ4)</f>
        <v>1/36</v>
      </c>
      <c r="CT4" s="105"/>
      <c r="CU4" s="106"/>
      <c r="CV4" s="106">
        <v>36</v>
      </c>
      <c r="CW4" s="106">
        <v>1</v>
      </c>
      <c r="CX4" s="106" t="str">
        <f>CONCATENATE(SUM(CU4+CW4),"/",CV4)</f>
        <v>1/36</v>
      </c>
      <c r="CY4" s="105"/>
      <c r="CZ4" s="106"/>
      <c r="DA4" s="106">
        <v>36</v>
      </c>
      <c r="DB4" s="106">
        <v>1</v>
      </c>
      <c r="DC4" s="106" t="str">
        <f>CONCATENATE(SUM(CZ4+DB4),"/",DA4)</f>
        <v>1/36</v>
      </c>
      <c r="DD4" s="159"/>
      <c r="DE4" s="150"/>
      <c r="DF4" s="182"/>
      <c r="DG4" s="106">
        <v>36</v>
      </c>
      <c r="DH4" s="106">
        <v>1</v>
      </c>
      <c r="DI4" s="181" t="str">
        <f>CONCATENATE(SUM(DF4+DH4),"/",DG4)</f>
        <v>1/36</v>
      </c>
      <c r="DJ4" s="170"/>
      <c r="DK4" s="106"/>
      <c r="DL4" s="106">
        <v>36</v>
      </c>
      <c r="DM4" s="106">
        <v>1</v>
      </c>
      <c r="DN4" s="106" t="str">
        <f>CONCATENATE(SUM(DK4+DM4),"/",DL4)</f>
        <v>1/36</v>
      </c>
      <c r="DO4" s="105"/>
      <c r="DP4" s="106"/>
      <c r="DQ4" s="106">
        <v>60</v>
      </c>
      <c r="DR4" s="106">
        <v>1</v>
      </c>
      <c r="DS4" s="106" t="str">
        <f>CONCATENATE(SUM(DP4+DR4),"/",DQ4)</f>
        <v>1/60</v>
      </c>
      <c r="DT4" s="105"/>
      <c r="DU4" s="106"/>
      <c r="DV4" s="106">
        <v>60</v>
      </c>
      <c r="DW4" s="106">
        <v>1</v>
      </c>
      <c r="DX4" s="106" t="str">
        <f>CONCATENATE(SUM(DU4+DW4),"/",DV4)</f>
        <v>1/60</v>
      </c>
      <c r="DY4" s="105"/>
      <c r="DZ4" s="106"/>
      <c r="EA4" s="106">
        <v>60</v>
      </c>
      <c r="EB4" s="106">
        <v>1</v>
      </c>
      <c r="EC4" s="106" t="str">
        <f>CONCATENATE(SUM(DZ4+EB4),"/",EA4)</f>
        <v>1/60</v>
      </c>
      <c r="ED4" s="159"/>
      <c r="EE4" s="150"/>
      <c r="EF4" s="185"/>
      <c r="EG4" s="105"/>
      <c r="EH4" s="107"/>
      <c r="EI4" s="186"/>
      <c r="EJ4" s="184"/>
      <c r="EK4" s="170"/>
      <c r="EL4" s="105"/>
      <c r="EM4" s="186"/>
      <c r="EN4" s="185"/>
      <c r="EO4" s="195"/>
      <c r="EP4" s="184"/>
      <c r="EQ4" s="185"/>
      <c r="ER4" s="186"/>
      <c r="ES4" s="184"/>
      <c r="ET4" s="185"/>
      <c r="EU4" s="144"/>
      <c r="EV4" s="144"/>
      <c r="EW4" s="197"/>
      <c r="EX4" s="199"/>
      <c r="EY4" s="174"/>
      <c r="EZ4" s="199"/>
      <c r="FA4" s="202"/>
      <c r="FE4" s="142"/>
      <c r="FF4" s="142"/>
      <c r="FG4" s="142"/>
      <c r="FH4" s="142"/>
      <c r="FI4" s="142"/>
      <c r="FJ4" s="142"/>
      <c r="FK4" s="142"/>
      <c r="FL4" s="142"/>
      <c r="FM4" s="142"/>
    </row>
    <row r="5" spans="1:205" hidden="1" x14ac:dyDescent="0.25">
      <c r="A5" s="158" t="s">
        <v>124</v>
      </c>
      <c r="B5" s="104"/>
      <c r="C5" s="104"/>
      <c r="D5" s="104"/>
      <c r="E5" s="105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5"/>
      <c r="S5" s="104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59"/>
      <c r="AF5" s="150"/>
      <c r="AG5" s="170"/>
      <c r="AH5" s="105"/>
      <c r="AI5" s="105"/>
      <c r="AJ5" s="105"/>
      <c r="AK5" s="149"/>
      <c r="AL5" s="174"/>
      <c r="AM5" s="150"/>
      <c r="AN5" s="170"/>
      <c r="AO5" s="105"/>
      <c r="AP5" s="105"/>
      <c r="AQ5" s="105"/>
      <c r="AR5" s="105"/>
      <c r="AS5" s="105"/>
      <c r="AT5" s="149"/>
      <c r="AU5" s="159"/>
      <c r="AV5" s="150"/>
      <c r="AW5" s="170"/>
      <c r="AX5" s="105"/>
      <c r="AY5" s="105"/>
      <c r="AZ5" s="105"/>
      <c r="BA5" s="105"/>
      <c r="BB5" s="105"/>
      <c r="BC5" s="105"/>
      <c r="BD5" s="159"/>
      <c r="BE5" s="215"/>
      <c r="BF5" s="150"/>
      <c r="BG5" s="182"/>
      <c r="BH5" s="106"/>
      <c r="BI5" s="106"/>
      <c r="BJ5" s="181"/>
      <c r="BK5" s="170"/>
      <c r="BL5" s="106"/>
      <c r="BM5" s="106"/>
      <c r="BN5" s="106"/>
      <c r="BO5" s="106"/>
      <c r="BP5" s="105"/>
      <c r="BQ5" s="106"/>
      <c r="BR5" s="106"/>
      <c r="BS5" s="106"/>
      <c r="BT5" s="106"/>
      <c r="BU5" s="105"/>
      <c r="BV5" s="106"/>
      <c r="BW5" s="106"/>
      <c r="BX5" s="106"/>
      <c r="BY5" s="106"/>
      <c r="BZ5" s="105"/>
      <c r="CA5" s="106"/>
      <c r="CB5" s="106"/>
      <c r="CC5" s="106"/>
      <c r="CD5" s="106"/>
      <c r="CE5" s="105"/>
      <c r="CF5" s="106"/>
      <c r="CG5" s="106"/>
      <c r="CH5" s="106"/>
      <c r="CI5" s="106"/>
      <c r="CJ5" s="105"/>
      <c r="CK5" s="106"/>
      <c r="CL5" s="106"/>
      <c r="CM5" s="106"/>
      <c r="CN5" s="106"/>
      <c r="CO5" s="105"/>
      <c r="CP5" s="106"/>
      <c r="CQ5" s="106"/>
      <c r="CR5" s="106"/>
      <c r="CS5" s="106"/>
      <c r="CT5" s="105"/>
      <c r="CU5" s="106"/>
      <c r="CV5" s="106"/>
      <c r="CW5" s="106"/>
      <c r="CX5" s="106"/>
      <c r="CY5" s="105"/>
      <c r="CZ5" s="106"/>
      <c r="DA5" s="106"/>
      <c r="DB5" s="106"/>
      <c r="DC5" s="106"/>
      <c r="DD5" s="159"/>
      <c r="DE5" s="150"/>
      <c r="DF5" s="182"/>
      <c r="DG5" s="106"/>
      <c r="DH5" s="106"/>
      <c r="DI5" s="181"/>
      <c r="DJ5" s="170"/>
      <c r="DK5" s="106"/>
      <c r="DL5" s="106"/>
      <c r="DM5" s="106"/>
      <c r="DN5" s="106"/>
      <c r="DO5" s="105"/>
      <c r="DP5" s="106"/>
      <c r="DQ5" s="106"/>
      <c r="DR5" s="106"/>
      <c r="DS5" s="106"/>
      <c r="DT5" s="105"/>
      <c r="DU5" s="106"/>
      <c r="DV5" s="106"/>
      <c r="DW5" s="106"/>
      <c r="DX5" s="106"/>
      <c r="DY5" s="105"/>
      <c r="DZ5" s="106"/>
      <c r="EA5" s="106"/>
      <c r="EB5" s="106"/>
      <c r="EC5" s="106"/>
      <c r="ED5" s="159"/>
      <c r="EE5" s="150"/>
      <c r="EF5" s="185"/>
      <c r="EG5" s="105"/>
      <c r="EH5" s="107"/>
      <c r="EI5" s="186"/>
      <c r="EJ5" s="184"/>
      <c r="EK5" s="170"/>
      <c r="EL5" s="105"/>
      <c r="EM5" s="186"/>
      <c r="EN5" s="185"/>
      <c r="EO5" s="195"/>
      <c r="EP5" s="184"/>
      <c r="EQ5" s="185"/>
      <c r="ER5" s="186"/>
      <c r="ES5" s="184"/>
      <c r="ET5" s="185"/>
      <c r="EU5" s="144"/>
      <c r="EV5" s="144"/>
      <c r="EW5" s="197"/>
      <c r="EX5" s="199"/>
      <c r="EY5" s="174"/>
      <c r="EZ5" s="199"/>
      <c r="FA5" s="202"/>
      <c r="FE5" s="142"/>
      <c r="FF5" s="142"/>
      <c r="FG5" s="142"/>
      <c r="FH5" s="142"/>
      <c r="FI5" s="142"/>
      <c r="FJ5" s="142"/>
      <c r="FK5" s="142"/>
      <c r="FL5" s="142"/>
      <c r="FM5" s="142"/>
    </row>
    <row r="6" spans="1:205" x14ac:dyDescent="0.25">
      <c r="A6" s="160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61"/>
      <c r="AG6" s="160"/>
      <c r="AH6" s="108"/>
      <c r="AI6" s="108"/>
      <c r="AJ6" s="108"/>
      <c r="AK6" s="143"/>
      <c r="AL6" s="175"/>
      <c r="AN6" s="160"/>
      <c r="AO6" s="108"/>
      <c r="AP6" s="108"/>
      <c r="AQ6" s="108"/>
      <c r="AR6" s="108"/>
      <c r="AS6" s="108"/>
      <c r="AT6" s="143"/>
      <c r="AU6" s="161"/>
      <c r="AW6" s="160"/>
      <c r="AX6" s="108"/>
      <c r="AY6" s="108"/>
      <c r="AZ6" s="108"/>
      <c r="BA6" s="108"/>
      <c r="BB6" s="108"/>
      <c r="BC6" s="108"/>
      <c r="BD6" s="161"/>
      <c r="BE6" s="203"/>
      <c r="BG6" s="160"/>
      <c r="BH6" s="108"/>
      <c r="BI6" s="108"/>
      <c r="BK6" s="160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61"/>
      <c r="DF6" s="160"/>
      <c r="DG6" s="108"/>
      <c r="DH6" s="108"/>
      <c r="DI6" s="143"/>
      <c r="DJ6" s="160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61"/>
      <c r="EF6" s="160"/>
      <c r="EG6" s="108"/>
      <c r="EH6" s="108"/>
      <c r="EI6" s="161"/>
      <c r="EK6" s="160"/>
      <c r="EL6" s="108"/>
      <c r="EM6" s="161"/>
      <c r="EN6" s="160"/>
      <c r="EO6" s="161"/>
      <c r="EQ6" s="160"/>
      <c r="ER6" s="161"/>
      <c r="ET6" s="160"/>
      <c r="EU6" s="108"/>
      <c r="EV6" s="108"/>
      <c r="EW6" s="143"/>
      <c r="EX6" s="175"/>
      <c r="EY6" s="175"/>
      <c r="EZ6" s="175"/>
      <c r="FA6" s="203"/>
      <c r="FE6" s="108"/>
      <c r="FF6" s="108"/>
      <c r="FG6" s="108"/>
      <c r="FH6" s="108"/>
      <c r="FI6" s="108"/>
      <c r="FJ6" s="108"/>
      <c r="FK6" s="108"/>
      <c r="FL6" s="108"/>
      <c r="FM6" s="108"/>
    </row>
    <row r="7" spans="1:205" x14ac:dyDescent="0.25">
      <c r="A7" s="160">
        <v>1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 t="s">
        <v>166</v>
      </c>
      <c r="M7" s="108" t="s">
        <v>166</v>
      </c>
      <c r="N7" s="108" t="s">
        <v>167</v>
      </c>
      <c r="O7" s="108" t="s">
        <v>167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61"/>
      <c r="AG7" s="160"/>
      <c r="AH7" s="108"/>
      <c r="AI7" s="108"/>
      <c r="AJ7" s="108"/>
      <c r="AK7" s="143"/>
      <c r="AL7" s="175">
        <f>ROUND(SUM(AB7:AE7)+SUM(AG7:AJ7),2)</f>
        <v>0</v>
      </c>
      <c r="AN7" s="160"/>
      <c r="AO7" s="108"/>
      <c r="AP7" s="108"/>
      <c r="AQ7" s="108"/>
      <c r="AR7" s="108"/>
      <c r="AS7" s="108"/>
      <c r="AT7" s="143"/>
      <c r="AU7" s="161"/>
      <c r="AW7" s="160"/>
      <c r="AX7" s="108"/>
      <c r="AY7" s="108"/>
      <c r="AZ7" s="108"/>
      <c r="BA7" s="108"/>
      <c r="BB7" s="108"/>
      <c r="BC7" s="108"/>
      <c r="BD7" s="161"/>
      <c r="BE7" s="203">
        <f>ROUND(SUM(AN7:AU7)+SUM(AW7:BD7),2)</f>
        <v>0</v>
      </c>
      <c r="BG7" s="160"/>
      <c r="BH7" s="108"/>
      <c r="BI7" s="108"/>
      <c r="BJ7" s="143"/>
      <c r="BK7" s="160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C7" s="108"/>
      <c r="DD7" s="161"/>
      <c r="DF7" s="160"/>
      <c r="DG7" s="108"/>
      <c r="DH7" s="108"/>
      <c r="DI7" s="143"/>
      <c r="DJ7" s="160"/>
      <c r="DK7" s="108"/>
      <c r="DL7" s="108"/>
      <c r="DM7" s="108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8"/>
      <c r="DY7" s="108"/>
      <c r="DZ7" s="108"/>
      <c r="EA7" s="108"/>
      <c r="EB7" s="108"/>
      <c r="EC7" s="108"/>
      <c r="ED7" s="161"/>
      <c r="EF7" s="160"/>
      <c r="EG7" s="108"/>
      <c r="EH7" s="108"/>
      <c r="EI7" s="161"/>
      <c r="EK7" s="160"/>
      <c r="EL7" s="108"/>
      <c r="EM7" s="161"/>
      <c r="EN7" s="160"/>
      <c r="EO7" s="161">
        <f>ROUND(SUM(BK7,BP7,BU7,BZ7,CE7,CJ7,CO7,CT7,CY7,DD7)+SUM(DJ7+DO7+DT7+DY7+ED7)+SUM(EF7,EG7,EH7,EI7)+SUM(EK7,EL7,EM7),2)</f>
        <v>0</v>
      </c>
      <c r="EQ7" s="160"/>
      <c r="ER7" s="161"/>
      <c r="ET7" s="160"/>
      <c r="EU7" s="108"/>
      <c r="EV7" s="108"/>
      <c r="EW7" s="143"/>
      <c r="EX7" s="175"/>
      <c r="EY7" s="175"/>
      <c r="EZ7" s="175"/>
      <c r="FA7" s="203"/>
      <c r="FE7" s="108"/>
      <c r="FF7" s="108"/>
      <c r="FG7" s="108"/>
      <c r="FH7" s="108"/>
      <c r="FI7" s="108"/>
      <c r="FJ7" s="108"/>
      <c r="FK7" s="108"/>
      <c r="FL7" s="108"/>
      <c r="FM7" s="108"/>
    </row>
    <row r="8" spans="1:205" x14ac:dyDescent="0.25">
      <c r="A8" s="160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61"/>
      <c r="AG8" s="160"/>
      <c r="AH8" s="108"/>
      <c r="AI8" s="108"/>
      <c r="AJ8" s="108"/>
      <c r="AK8" s="143"/>
      <c r="AL8" s="175"/>
      <c r="AN8" s="160"/>
      <c r="AO8" s="108"/>
      <c r="AP8" s="108"/>
      <c r="AQ8" s="108"/>
      <c r="AR8" s="108"/>
      <c r="AS8" s="108"/>
      <c r="AT8" s="143"/>
      <c r="AU8" s="161"/>
      <c r="AW8" s="160"/>
      <c r="AX8" s="108"/>
      <c r="AY8" s="108"/>
      <c r="AZ8" s="108"/>
      <c r="BA8" s="108"/>
      <c r="BB8" s="108"/>
      <c r="BC8" s="108"/>
      <c r="BD8" s="161"/>
      <c r="BE8" s="203"/>
      <c r="BG8" s="160"/>
      <c r="BH8" s="108"/>
      <c r="BI8" s="108"/>
      <c r="BJ8" s="143"/>
      <c r="BK8" s="160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61"/>
      <c r="DF8" s="160"/>
      <c r="DG8" s="108"/>
      <c r="DH8" s="108"/>
      <c r="DI8" s="143"/>
      <c r="DJ8" s="160"/>
      <c r="DK8" s="108"/>
      <c r="DL8" s="108"/>
      <c r="DM8" s="108"/>
      <c r="DN8" s="108"/>
      <c r="DO8" s="108"/>
      <c r="DP8" s="108"/>
      <c r="DQ8" s="108"/>
      <c r="DR8" s="108"/>
      <c r="DS8" s="108"/>
      <c r="DT8" s="108"/>
      <c r="DU8" s="108"/>
      <c r="DV8" s="108"/>
      <c r="DW8" s="108"/>
      <c r="DX8" s="108"/>
      <c r="DY8" s="108"/>
      <c r="DZ8" s="108"/>
      <c r="EA8" s="108"/>
      <c r="EB8" s="108"/>
      <c r="EC8" s="108"/>
      <c r="ED8" s="161"/>
      <c r="EF8" s="160"/>
      <c r="EG8" s="108"/>
      <c r="EH8" s="108"/>
      <c r="EI8" s="161"/>
      <c r="EK8" s="160"/>
      <c r="EL8" s="108"/>
      <c r="EM8" s="161"/>
      <c r="EN8" s="160"/>
      <c r="EO8" s="161"/>
      <c r="EQ8" s="160"/>
      <c r="ER8" s="161"/>
      <c r="ET8" s="160"/>
      <c r="EU8" s="108"/>
      <c r="EV8" s="108"/>
      <c r="EW8" s="143"/>
      <c r="EX8" s="175"/>
      <c r="EY8" s="175"/>
      <c r="EZ8" s="175"/>
      <c r="FA8" s="203"/>
      <c r="FE8" s="108"/>
      <c r="FF8" s="108"/>
      <c r="FG8" s="108"/>
      <c r="FH8" s="108"/>
      <c r="FI8" s="108"/>
      <c r="FJ8" s="108"/>
      <c r="FK8" s="108"/>
      <c r="FL8" s="108"/>
      <c r="FM8" s="108"/>
    </row>
    <row r="9" spans="1:205" x14ac:dyDescent="0.25">
      <c r="A9" s="160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61"/>
      <c r="AG9" s="160"/>
      <c r="AH9" s="108"/>
      <c r="AI9" s="108"/>
      <c r="AJ9" s="108"/>
      <c r="AK9" s="143"/>
      <c r="AL9" s="175"/>
      <c r="AN9" s="160"/>
      <c r="AO9" s="108"/>
      <c r="AP9" s="108"/>
      <c r="AQ9" s="108"/>
      <c r="AR9" s="108"/>
      <c r="AS9" s="108"/>
      <c r="AT9" s="143"/>
      <c r="AU9" s="161"/>
      <c r="AW9" s="160"/>
      <c r="AX9" s="108"/>
      <c r="AY9" s="108"/>
      <c r="AZ9" s="108"/>
      <c r="BA9" s="108"/>
      <c r="BB9" s="108"/>
      <c r="BC9" s="108"/>
      <c r="BD9" s="161"/>
      <c r="BE9" s="203"/>
      <c r="BG9" s="160"/>
      <c r="BH9" s="108"/>
      <c r="BI9" s="108"/>
      <c r="BJ9" s="143"/>
      <c r="BK9" s="160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61"/>
      <c r="DF9" s="160"/>
      <c r="DG9" s="108"/>
      <c r="DH9" s="108"/>
      <c r="DI9" s="143"/>
      <c r="DJ9" s="160"/>
      <c r="DK9" s="108"/>
      <c r="DL9" s="108"/>
      <c r="DM9" s="108"/>
      <c r="DN9" s="108"/>
      <c r="DO9" s="108"/>
      <c r="DP9" s="108"/>
      <c r="DQ9" s="108"/>
      <c r="DR9" s="108"/>
      <c r="DS9" s="108"/>
      <c r="DT9" s="108"/>
      <c r="DU9" s="108"/>
      <c r="DV9" s="108"/>
      <c r="DW9" s="108"/>
      <c r="DX9" s="108"/>
      <c r="DY9" s="108"/>
      <c r="DZ9" s="108"/>
      <c r="EA9" s="108"/>
      <c r="EB9" s="108"/>
      <c r="EC9" s="108"/>
      <c r="ED9" s="161"/>
      <c r="EF9" s="160"/>
      <c r="EG9" s="108"/>
      <c r="EH9" s="108"/>
      <c r="EI9" s="161"/>
      <c r="EK9" s="160"/>
      <c r="EL9" s="108"/>
      <c r="EM9" s="161"/>
      <c r="EN9" s="160"/>
      <c r="EO9" s="161"/>
      <c r="EQ9" s="160"/>
      <c r="ER9" s="161"/>
      <c r="ET9" s="160"/>
      <c r="EU9" s="108"/>
      <c r="EV9" s="108"/>
      <c r="EW9" s="143"/>
      <c r="EX9" s="175"/>
      <c r="EY9" s="175"/>
      <c r="EZ9" s="175"/>
      <c r="FA9" s="203"/>
      <c r="FE9" s="108"/>
      <c r="FF9" s="108"/>
      <c r="FG9" s="108"/>
      <c r="FH9" s="108"/>
      <c r="FI9" s="108"/>
      <c r="FJ9" s="108"/>
      <c r="FK9" s="108"/>
      <c r="FL9" s="108"/>
      <c r="FM9" s="108"/>
    </row>
    <row r="10" spans="1:205" x14ac:dyDescent="0.25">
      <c r="A10" s="160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61"/>
      <c r="AG10" s="160"/>
      <c r="AH10" s="108"/>
      <c r="AI10" s="108"/>
      <c r="AJ10" s="108"/>
      <c r="AK10" s="143"/>
      <c r="AL10" s="175"/>
      <c r="AN10" s="160"/>
      <c r="AO10" s="108"/>
      <c r="AP10" s="108"/>
      <c r="AQ10" s="108"/>
      <c r="AR10" s="108"/>
      <c r="AS10" s="108"/>
      <c r="AT10" s="143"/>
      <c r="AU10" s="161"/>
      <c r="AW10" s="160"/>
      <c r="AX10" s="108"/>
      <c r="AY10" s="108"/>
      <c r="AZ10" s="108"/>
      <c r="BA10" s="108"/>
      <c r="BB10" s="108"/>
      <c r="BC10" s="108"/>
      <c r="BD10" s="161"/>
      <c r="BE10" s="203"/>
      <c r="BG10" s="160"/>
      <c r="BH10" s="108"/>
      <c r="BI10" s="108"/>
      <c r="BJ10" s="143"/>
      <c r="BK10" s="160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61"/>
      <c r="DF10" s="160"/>
      <c r="DG10" s="108"/>
      <c r="DH10" s="108"/>
      <c r="DI10" s="143"/>
      <c r="DJ10" s="160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61"/>
      <c r="EF10" s="160"/>
      <c r="EG10" s="108"/>
      <c r="EH10" s="108"/>
      <c r="EI10" s="161"/>
      <c r="EK10" s="160"/>
      <c r="EL10" s="108"/>
      <c r="EM10" s="161"/>
      <c r="EN10" s="160"/>
      <c r="EO10" s="161"/>
      <c r="EQ10" s="160"/>
      <c r="ER10" s="161"/>
      <c r="ET10" s="160"/>
      <c r="EU10" s="108"/>
      <c r="EV10" s="108"/>
      <c r="EW10" s="143"/>
      <c r="EX10" s="175"/>
      <c r="EY10" s="175"/>
      <c r="EZ10" s="175"/>
      <c r="FA10" s="203"/>
      <c r="FE10" s="108"/>
      <c r="FF10" s="108"/>
      <c r="FG10" s="108"/>
      <c r="FH10" s="108"/>
      <c r="FI10" s="108"/>
      <c r="FJ10" s="108"/>
      <c r="FK10" s="108"/>
      <c r="FL10" s="108"/>
      <c r="FM10" s="108"/>
    </row>
    <row r="11" spans="1:205" x14ac:dyDescent="0.25">
      <c r="A11" s="160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61"/>
      <c r="AG11" s="160"/>
      <c r="AH11" s="108"/>
      <c r="AI11" s="108"/>
      <c r="AJ11" s="108"/>
      <c r="AK11" s="143"/>
      <c r="AL11" s="175"/>
      <c r="AN11" s="160"/>
      <c r="AO11" s="108"/>
      <c r="AP11" s="108"/>
      <c r="AQ11" s="108"/>
      <c r="AR11" s="108"/>
      <c r="AS11" s="108"/>
      <c r="AT11" s="143"/>
      <c r="AU11" s="161"/>
      <c r="AW11" s="160"/>
      <c r="AX11" s="108"/>
      <c r="AY11" s="108"/>
      <c r="AZ11" s="108"/>
      <c r="BA11" s="108"/>
      <c r="BB11" s="108"/>
      <c r="BC11" s="108"/>
      <c r="BD11" s="161"/>
      <c r="BE11" s="203"/>
      <c r="BG11" s="160"/>
      <c r="BH11" s="108"/>
      <c r="BI11" s="108"/>
      <c r="BJ11" s="143"/>
      <c r="BK11" s="160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61"/>
      <c r="DF11" s="160"/>
      <c r="DG11" s="108"/>
      <c r="DH11" s="108"/>
      <c r="DI11" s="143"/>
      <c r="DJ11" s="160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61"/>
      <c r="EF11" s="160"/>
      <c r="EG11" s="108"/>
      <c r="EH11" s="108"/>
      <c r="EI11" s="161"/>
      <c r="EK11" s="160"/>
      <c r="EL11" s="108"/>
      <c r="EM11" s="161"/>
      <c r="EN11" s="160"/>
      <c r="EO11" s="161"/>
      <c r="EQ11" s="160"/>
      <c r="ER11" s="161"/>
      <c r="ET11" s="160"/>
      <c r="EU11" s="108"/>
      <c r="EV11" s="108"/>
      <c r="EW11" s="143"/>
      <c r="EX11" s="175"/>
      <c r="EY11" s="175"/>
      <c r="EZ11" s="175"/>
      <c r="FA11" s="203"/>
      <c r="FE11" s="108"/>
      <c r="FF11" s="108"/>
      <c r="FG11" s="108"/>
      <c r="FH11" s="108"/>
      <c r="FI11" s="108"/>
      <c r="FJ11" s="108"/>
      <c r="FK11" s="108"/>
      <c r="FL11" s="108"/>
      <c r="FM11" s="108"/>
    </row>
    <row r="12" spans="1:205" x14ac:dyDescent="0.25">
      <c r="A12" s="160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61"/>
      <c r="AG12" s="160"/>
      <c r="AH12" s="108"/>
      <c r="AI12" s="108"/>
      <c r="AJ12" s="108"/>
      <c r="AK12" s="143"/>
      <c r="AL12" s="175"/>
      <c r="AN12" s="160"/>
      <c r="AO12" s="108"/>
      <c r="AP12" s="108"/>
      <c r="AQ12" s="108"/>
      <c r="AR12" s="108"/>
      <c r="AS12" s="108"/>
      <c r="AT12" s="143"/>
      <c r="AU12" s="161"/>
      <c r="AW12" s="160"/>
      <c r="AX12" s="108"/>
      <c r="AY12" s="108"/>
      <c r="AZ12" s="108"/>
      <c r="BA12" s="108"/>
      <c r="BB12" s="108"/>
      <c r="BC12" s="108"/>
      <c r="BD12" s="161"/>
      <c r="BE12" s="203"/>
      <c r="BG12" s="160"/>
      <c r="BH12" s="108"/>
      <c r="BI12" s="108"/>
      <c r="BJ12" s="143"/>
      <c r="BK12" s="160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61"/>
      <c r="DF12" s="160"/>
      <c r="DG12" s="108"/>
      <c r="DH12" s="108"/>
      <c r="DI12" s="143"/>
      <c r="DJ12" s="160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61"/>
      <c r="EF12" s="160"/>
      <c r="EG12" s="108"/>
      <c r="EH12" s="108"/>
      <c r="EI12" s="161"/>
      <c r="EK12" s="160"/>
      <c r="EL12" s="108"/>
      <c r="EM12" s="161"/>
      <c r="EN12" s="160"/>
      <c r="EO12" s="161"/>
      <c r="EQ12" s="160"/>
      <c r="ER12" s="161"/>
      <c r="ET12" s="160"/>
      <c r="EU12" s="108"/>
      <c r="EV12" s="108"/>
      <c r="EW12" s="143"/>
      <c r="EX12" s="175"/>
      <c r="EY12" s="175"/>
      <c r="EZ12" s="175"/>
      <c r="FA12" s="203"/>
      <c r="FE12" s="108"/>
      <c r="FF12" s="108"/>
      <c r="FG12" s="108"/>
      <c r="FH12" s="108"/>
      <c r="FI12" s="108"/>
      <c r="FJ12" s="108"/>
      <c r="FK12" s="108"/>
      <c r="FL12" s="108"/>
      <c r="FM12" s="108"/>
    </row>
    <row r="13" spans="1:205" ht="15.75" thickBot="1" x14ac:dyDescent="0.3">
      <c r="A13" s="162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4"/>
      <c r="AG13" s="162"/>
      <c r="AH13" s="163"/>
      <c r="AI13" s="163"/>
      <c r="AJ13" s="163"/>
      <c r="AK13" s="172"/>
      <c r="AL13" s="176"/>
      <c r="AN13" s="162"/>
      <c r="AO13" s="163"/>
      <c r="AP13" s="163"/>
      <c r="AQ13" s="163"/>
      <c r="AR13" s="163"/>
      <c r="AS13" s="163"/>
      <c r="AT13" s="172"/>
      <c r="AU13" s="164"/>
      <c r="AW13" s="162"/>
      <c r="AX13" s="163"/>
      <c r="AY13" s="163"/>
      <c r="AZ13" s="163"/>
      <c r="BA13" s="163"/>
      <c r="BB13" s="163"/>
      <c r="BC13" s="163"/>
      <c r="BD13" s="164"/>
      <c r="BE13" s="204"/>
      <c r="BG13" s="162"/>
      <c r="BH13" s="163"/>
      <c r="BI13" s="163"/>
      <c r="BJ13" s="172"/>
      <c r="BK13" s="162"/>
      <c r="BL13" s="163"/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163"/>
      <c r="BX13" s="163"/>
      <c r="BY13" s="163"/>
      <c r="BZ13" s="163"/>
      <c r="CA13" s="163"/>
      <c r="CB13" s="163"/>
      <c r="CC13" s="163"/>
      <c r="CD13" s="163"/>
      <c r="CE13" s="163"/>
      <c r="CF13" s="163"/>
      <c r="CG13" s="163"/>
      <c r="CH13" s="163"/>
      <c r="CI13" s="163"/>
      <c r="CJ13" s="163"/>
      <c r="CK13" s="163"/>
      <c r="CL13" s="163"/>
      <c r="CM13" s="163"/>
      <c r="CN13" s="163"/>
      <c r="CO13" s="163"/>
      <c r="CP13" s="163"/>
      <c r="CQ13" s="163"/>
      <c r="CR13" s="163"/>
      <c r="CS13" s="163"/>
      <c r="CT13" s="163"/>
      <c r="CU13" s="163"/>
      <c r="CV13" s="163"/>
      <c r="CW13" s="163"/>
      <c r="CX13" s="163"/>
      <c r="CY13" s="163"/>
      <c r="CZ13" s="163"/>
      <c r="DA13" s="163"/>
      <c r="DB13" s="163"/>
      <c r="DC13" s="163"/>
      <c r="DD13" s="164"/>
      <c r="DF13" s="162"/>
      <c r="DG13" s="163"/>
      <c r="DH13" s="163"/>
      <c r="DI13" s="172"/>
      <c r="DJ13" s="162"/>
      <c r="DK13" s="163"/>
      <c r="DL13" s="163"/>
      <c r="DM13" s="163"/>
      <c r="DN13" s="163"/>
      <c r="DO13" s="163"/>
      <c r="DP13" s="163"/>
      <c r="DQ13" s="163"/>
      <c r="DR13" s="163"/>
      <c r="DS13" s="163"/>
      <c r="DT13" s="163"/>
      <c r="DU13" s="163"/>
      <c r="DV13" s="163"/>
      <c r="DW13" s="163"/>
      <c r="DX13" s="163"/>
      <c r="DY13" s="163"/>
      <c r="DZ13" s="163"/>
      <c r="EA13" s="163"/>
      <c r="EB13" s="163"/>
      <c r="EC13" s="163"/>
      <c r="ED13" s="164"/>
      <c r="EF13" s="162"/>
      <c r="EG13" s="163"/>
      <c r="EH13" s="163"/>
      <c r="EI13" s="164"/>
      <c r="EK13" s="162"/>
      <c r="EL13" s="163"/>
      <c r="EM13" s="164"/>
      <c r="EN13" s="162"/>
      <c r="EO13" s="164"/>
      <c r="EQ13" s="162"/>
      <c r="ER13" s="164"/>
      <c r="ET13" s="162"/>
      <c r="EU13" s="163"/>
      <c r="EV13" s="163"/>
      <c r="EW13" s="172"/>
      <c r="EX13" s="176"/>
      <c r="EY13" s="176"/>
      <c r="EZ13" s="176"/>
      <c r="FA13" s="204"/>
      <c r="FE13" s="108"/>
      <c r="FF13" s="108"/>
      <c r="FG13" s="108"/>
      <c r="FH13" s="108"/>
      <c r="FI13" s="108"/>
      <c r="FJ13" s="108"/>
      <c r="FK13" s="108"/>
      <c r="FL13" s="108"/>
      <c r="FM13" s="108"/>
    </row>
    <row r="15" spans="1:205" ht="15.75" thickBot="1" x14ac:dyDescent="0.3"/>
    <row r="16" spans="1:205" ht="15.75" thickBot="1" x14ac:dyDescent="0.3">
      <c r="AB16" s="2" t="s">
        <v>64</v>
      </c>
      <c r="AC16" s="4" t="s">
        <v>65</v>
      </c>
      <c r="AD16" s="3"/>
      <c r="AE16" s="4"/>
      <c r="AF16" s="4"/>
      <c r="AG16" s="5"/>
      <c r="AH16" s="6"/>
      <c r="AI16" s="7"/>
      <c r="AJ16" s="8"/>
      <c r="AK16" s="9"/>
      <c r="AL16" s="82" t="s">
        <v>66</v>
      </c>
      <c r="AM16" s="165"/>
      <c r="AN16" s="83" t="s">
        <v>67</v>
      </c>
      <c r="AO16" s="15"/>
      <c r="AP16" s="15"/>
      <c r="AQ16" s="129" t="s">
        <v>90</v>
      </c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5"/>
      <c r="BD16" s="11"/>
      <c r="BE16" s="11"/>
      <c r="BF16" s="11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24"/>
      <c r="CU16" s="24"/>
      <c r="CV16" s="24"/>
      <c r="CW16" s="24"/>
      <c r="CX16" s="24"/>
      <c r="CY16" s="62"/>
      <c r="CZ16" s="10"/>
      <c r="DA16" s="10"/>
      <c r="DB16" s="10"/>
      <c r="DC16" s="10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63"/>
      <c r="DV16" s="63"/>
      <c r="DW16" s="63"/>
      <c r="DX16" s="63"/>
      <c r="DY16" s="63"/>
      <c r="DZ16" s="11"/>
      <c r="EA16" s="11"/>
      <c r="EB16" s="11"/>
      <c r="EC16" s="11"/>
      <c r="ED16" s="12"/>
      <c r="EE16" s="12"/>
      <c r="EF16" s="13"/>
      <c r="EG16" s="13"/>
      <c r="EH16" s="109"/>
      <c r="EI16" s="33"/>
      <c r="EJ16" s="33"/>
      <c r="EK16" s="19"/>
      <c r="EL16" s="20"/>
      <c r="EM16" s="20"/>
      <c r="EN16" s="110"/>
      <c r="EO16" s="110"/>
      <c r="EP16" s="187"/>
      <c r="EQ16" s="110"/>
      <c r="ER16" s="110"/>
      <c r="ES16" s="110"/>
      <c r="ET16" s="110"/>
      <c r="EU16" s="110"/>
      <c r="EV16" s="110"/>
      <c r="EW16" s="20"/>
      <c r="EX16" s="111"/>
      <c r="EY16" s="19"/>
      <c r="EZ16" s="19"/>
      <c r="FA16" s="11"/>
      <c r="FB16" s="11"/>
      <c r="FC16" s="11"/>
      <c r="FD16" s="11"/>
      <c r="FE16" s="117" t="s">
        <v>64</v>
      </c>
      <c r="FF16" s="14" t="s">
        <v>65</v>
      </c>
      <c r="FG16" s="118"/>
      <c r="FH16" s="14"/>
      <c r="FI16" s="14"/>
      <c r="FJ16" s="119"/>
      <c r="FK16" s="136" t="s">
        <v>66</v>
      </c>
      <c r="FL16" s="83" t="s">
        <v>67</v>
      </c>
      <c r="FM16" s="15"/>
      <c r="FN16" s="15"/>
      <c r="FO16" s="129" t="s">
        <v>90</v>
      </c>
      <c r="FP16" s="84"/>
      <c r="FQ16" s="84"/>
      <c r="FR16" s="84"/>
      <c r="FS16" s="84"/>
      <c r="FT16" s="84"/>
      <c r="FU16" s="84"/>
      <c r="FV16" s="85"/>
      <c r="FW16" s="11"/>
      <c r="FX16" s="11"/>
      <c r="FY16" s="11"/>
      <c r="GD16" s="11"/>
      <c r="GE16" s="11"/>
      <c r="GF16" s="11"/>
      <c r="GG16" s="11"/>
      <c r="GH16" s="11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1"/>
      <c r="GU16" s="11"/>
      <c r="GV16" s="11"/>
      <c r="GW16" s="11"/>
    </row>
    <row r="17" spans="11:205" x14ac:dyDescent="0.25">
      <c r="AB17" s="17"/>
      <c r="AC17" s="18"/>
      <c r="AD17" s="18"/>
      <c r="AE17" s="19"/>
      <c r="AF17" s="19"/>
      <c r="AG17" s="20"/>
      <c r="AH17" s="19"/>
      <c r="AI17" s="21"/>
      <c r="AJ17" s="22"/>
      <c r="AK17" s="23"/>
      <c r="AL17" s="86"/>
      <c r="AM17" s="24"/>
      <c r="AN17" s="23"/>
      <c r="AO17" s="23"/>
      <c r="AP17" s="23"/>
      <c r="AQ17" s="23"/>
      <c r="AR17" s="23"/>
      <c r="AS17" s="23"/>
      <c r="AT17" s="23"/>
      <c r="AU17" s="87"/>
      <c r="AV17" s="87"/>
      <c r="AW17" s="87"/>
      <c r="AX17" s="87"/>
      <c r="AY17" s="87"/>
      <c r="AZ17" s="87"/>
      <c r="BA17" s="87"/>
      <c r="BB17" s="87"/>
      <c r="BC17" s="88"/>
      <c r="BD17" s="21"/>
      <c r="BE17" s="21"/>
      <c r="BF17" s="21"/>
      <c r="BG17" s="19"/>
      <c r="BH17" s="19"/>
      <c r="BI17" s="19"/>
      <c r="BJ17" s="19"/>
      <c r="BK17" s="19"/>
      <c r="BL17" s="64"/>
      <c r="BM17" s="64"/>
      <c r="BN17" s="64"/>
      <c r="BO17" s="64"/>
      <c r="BP17" s="64"/>
      <c r="BQ17" s="64"/>
      <c r="BR17" s="64"/>
      <c r="BS17" s="64"/>
      <c r="BT17" s="64"/>
      <c r="BU17" s="65"/>
      <c r="BV17" s="65"/>
      <c r="BW17" s="65"/>
      <c r="BX17" s="65"/>
      <c r="BY17" s="65"/>
      <c r="BZ17" s="65"/>
      <c r="CA17" s="64"/>
      <c r="CB17" s="64"/>
      <c r="CC17" s="64"/>
      <c r="CD17" s="64"/>
      <c r="CE17" s="65"/>
      <c r="CF17" s="65"/>
      <c r="CG17" s="65"/>
      <c r="CH17" s="65"/>
      <c r="CI17" s="65"/>
      <c r="CJ17" s="64"/>
      <c r="CK17" s="66"/>
      <c r="CL17" s="66"/>
      <c r="CM17" s="66"/>
      <c r="CN17" s="66"/>
      <c r="CO17" s="67"/>
      <c r="CP17" s="64"/>
      <c r="CQ17" s="64"/>
      <c r="CR17" s="64"/>
      <c r="CS17" s="64"/>
      <c r="CT17" s="68"/>
      <c r="CU17" s="68"/>
      <c r="CV17" s="68"/>
      <c r="CW17" s="68"/>
      <c r="CX17" s="68"/>
      <c r="CY17" s="69"/>
      <c r="CZ17" s="69"/>
      <c r="DA17" s="69"/>
      <c r="DB17" s="69"/>
      <c r="DC17" s="69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63"/>
      <c r="DV17" s="63"/>
      <c r="DW17" s="63"/>
      <c r="DX17" s="63"/>
      <c r="DY17" s="63"/>
      <c r="DZ17" s="11"/>
      <c r="EA17" s="11"/>
      <c r="EB17" s="11"/>
      <c r="EC17" s="11"/>
      <c r="ED17" s="12"/>
      <c r="EE17" s="12"/>
      <c r="EF17" s="13"/>
      <c r="EG17" s="13"/>
      <c r="EH17" s="109"/>
      <c r="EI17" s="19"/>
      <c r="EJ17" s="19"/>
      <c r="EK17" s="19"/>
      <c r="EL17" s="23"/>
      <c r="EM17" s="23"/>
      <c r="EN17" s="25"/>
      <c r="EO17" s="25"/>
      <c r="EP17" s="188"/>
      <c r="EQ17" s="25"/>
      <c r="ER17" s="25"/>
      <c r="ES17" s="25"/>
      <c r="ET17" s="25"/>
      <c r="EU17" s="25"/>
      <c r="EV17" s="25"/>
      <c r="EW17" s="23"/>
      <c r="EX17" s="222"/>
      <c r="EY17" s="222"/>
      <c r="EZ17" s="222"/>
      <c r="FA17" s="26" t="e">
        <f>TEXT(#REF!,"P ###,###,###.##;;@")</f>
        <v>#REF!</v>
      </c>
      <c r="FB17" s="26"/>
      <c r="FC17" s="26"/>
      <c r="FD17" s="26"/>
      <c r="FE17" s="120"/>
      <c r="FF17" s="18"/>
      <c r="FG17" s="18"/>
      <c r="FH17" s="19"/>
      <c r="FI17" s="19"/>
      <c r="FJ17" s="20"/>
      <c r="FK17" s="86"/>
      <c r="FL17" s="23"/>
      <c r="FM17" s="23"/>
      <c r="FN17" s="23"/>
      <c r="FO17" s="23"/>
      <c r="FP17" s="23"/>
      <c r="FQ17" s="23"/>
      <c r="FR17" s="87"/>
      <c r="FS17" s="87"/>
      <c r="FT17" s="87"/>
      <c r="FU17" s="87"/>
      <c r="FV17" s="130"/>
      <c r="FW17" s="87"/>
      <c r="FX17" s="87"/>
      <c r="FY17" s="21"/>
      <c r="GD17" s="11"/>
      <c r="GE17" s="11"/>
      <c r="GF17" s="11"/>
      <c r="GG17" s="11"/>
      <c r="GH17" s="11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1"/>
      <c r="GU17" s="11"/>
      <c r="GV17" s="11"/>
      <c r="GW17" s="11"/>
    </row>
    <row r="18" spans="11:205" x14ac:dyDescent="0.25">
      <c r="AB18" s="17"/>
      <c r="AC18" s="18"/>
      <c r="AD18" s="18"/>
      <c r="AE18" s="19"/>
      <c r="AF18" s="19"/>
      <c r="AG18" s="20"/>
      <c r="AH18" s="19"/>
      <c r="AI18" s="21"/>
      <c r="AJ18" s="22"/>
      <c r="AK18" s="23"/>
      <c r="AL18" s="86"/>
      <c r="AM18" s="24"/>
      <c r="AN18" s="23"/>
      <c r="AO18" s="23"/>
      <c r="AP18" s="23"/>
      <c r="AQ18" s="23"/>
      <c r="AR18" s="23"/>
      <c r="AS18" s="23"/>
      <c r="AT18" s="23"/>
      <c r="AU18" s="87"/>
      <c r="AV18" s="87"/>
      <c r="AW18" s="87"/>
      <c r="AX18" s="87"/>
      <c r="AY18" s="87"/>
      <c r="AZ18" s="87"/>
      <c r="BA18" s="87"/>
      <c r="BB18" s="87"/>
      <c r="BC18" s="88"/>
      <c r="BD18" s="21"/>
      <c r="BE18" s="21"/>
      <c r="BF18" s="21"/>
      <c r="BG18" s="19"/>
      <c r="BH18" s="19"/>
      <c r="BI18" s="19"/>
      <c r="BJ18" s="19"/>
      <c r="BK18" s="19"/>
      <c r="BL18" s="64"/>
      <c r="BM18" s="64"/>
      <c r="BN18" s="64"/>
      <c r="BO18" s="64"/>
      <c r="BP18" s="64"/>
      <c r="BQ18" s="64"/>
      <c r="BR18" s="64"/>
      <c r="BS18" s="64"/>
      <c r="BT18" s="64"/>
      <c r="BU18" s="65"/>
      <c r="BV18" s="65"/>
      <c r="BW18" s="65"/>
      <c r="BX18" s="65"/>
      <c r="BY18" s="65"/>
      <c r="BZ18" s="65"/>
      <c r="CA18" s="64"/>
      <c r="CB18" s="64"/>
      <c r="CC18" s="64"/>
      <c r="CD18" s="64"/>
      <c r="CE18" s="65"/>
      <c r="CF18" s="65"/>
      <c r="CG18" s="65"/>
      <c r="CH18" s="65"/>
      <c r="CI18" s="65"/>
      <c r="CJ18" s="64"/>
      <c r="CK18" s="66"/>
      <c r="CL18" s="66"/>
      <c r="CM18" s="66"/>
      <c r="CN18" s="66"/>
      <c r="CO18" s="64"/>
      <c r="CP18" s="64"/>
      <c r="CQ18" s="64"/>
      <c r="CR18" s="64"/>
      <c r="CS18" s="64"/>
      <c r="CT18" s="68"/>
      <c r="CU18" s="68"/>
      <c r="CV18" s="68"/>
      <c r="CW18" s="68"/>
      <c r="CX18" s="68"/>
      <c r="CY18" s="69"/>
      <c r="CZ18" s="69"/>
      <c r="DA18" s="69"/>
      <c r="DB18" s="69"/>
      <c r="DC18" s="69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63"/>
      <c r="DV18" s="63"/>
      <c r="DW18" s="63"/>
      <c r="DX18" s="63"/>
      <c r="DY18" s="63"/>
      <c r="DZ18" s="11"/>
      <c r="EA18" s="11"/>
      <c r="EB18" s="11"/>
      <c r="EC18" s="11"/>
      <c r="ED18" s="12"/>
      <c r="EE18" s="12"/>
      <c r="EF18" s="13"/>
      <c r="EG18" s="13"/>
      <c r="EH18" s="109"/>
      <c r="EI18" s="19"/>
      <c r="EJ18" s="19"/>
      <c r="EK18" s="19"/>
      <c r="EL18" s="23"/>
      <c r="EM18" s="23"/>
      <c r="EN18" s="25"/>
      <c r="EO18" s="25"/>
      <c r="EP18" s="188"/>
      <c r="EQ18" s="25"/>
      <c r="ER18" s="25"/>
      <c r="ES18" s="25"/>
      <c r="ET18" s="25"/>
      <c r="EU18" s="25"/>
      <c r="EV18" s="25"/>
      <c r="EW18" s="23"/>
      <c r="EX18" s="222"/>
      <c r="EY18" s="222"/>
      <c r="EZ18" s="222"/>
      <c r="FA18" s="11"/>
      <c r="FB18" s="11"/>
      <c r="FC18" s="11"/>
      <c r="FD18" s="11"/>
      <c r="FE18" s="120"/>
      <c r="FF18" s="18"/>
      <c r="FG18" s="18"/>
      <c r="FH18" s="19"/>
      <c r="FI18" s="19"/>
      <c r="FJ18" s="20"/>
      <c r="FK18" s="86"/>
      <c r="FL18" s="23"/>
      <c r="FM18" s="23"/>
      <c r="FN18" s="23"/>
      <c r="FO18" s="23"/>
      <c r="FP18" s="23"/>
      <c r="FQ18" s="23"/>
      <c r="FR18" s="87"/>
      <c r="FS18" s="87"/>
      <c r="FT18" s="87"/>
      <c r="FU18" s="87"/>
      <c r="FV18" s="130"/>
      <c r="FW18" s="87"/>
      <c r="FX18" s="87"/>
      <c r="FY18" s="21"/>
      <c r="GD18" s="11"/>
      <c r="GE18" s="11"/>
      <c r="GF18" s="11"/>
      <c r="GG18" s="11"/>
      <c r="GH18" s="11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1"/>
      <c r="GU18" s="11"/>
      <c r="GV18" s="11"/>
      <c r="GW18" s="11"/>
    </row>
    <row r="19" spans="11:205" x14ac:dyDescent="0.25">
      <c r="AB19" s="17"/>
      <c r="AC19" s="18"/>
      <c r="AD19" s="18"/>
      <c r="AE19" s="19"/>
      <c r="AF19" s="19"/>
      <c r="AG19" s="20"/>
      <c r="AH19" s="19"/>
      <c r="AI19" s="21"/>
      <c r="AJ19" s="22"/>
      <c r="AK19" s="23"/>
      <c r="AL19" s="86"/>
      <c r="AM19" s="24"/>
      <c r="AN19" s="23"/>
      <c r="AO19" s="23"/>
      <c r="AP19" s="23"/>
      <c r="AQ19" s="23"/>
      <c r="AR19" s="23"/>
      <c r="AS19" s="23"/>
      <c r="AT19" s="23"/>
      <c r="AU19" s="87"/>
      <c r="AV19" s="87"/>
      <c r="AW19" s="87"/>
      <c r="AX19" s="87"/>
      <c r="AY19" s="87"/>
      <c r="AZ19" s="87"/>
      <c r="BA19" s="87"/>
      <c r="BB19" s="87"/>
      <c r="BC19" s="88"/>
      <c r="BD19" s="21"/>
      <c r="BE19" s="21"/>
      <c r="BF19" s="21"/>
      <c r="BG19" s="19"/>
      <c r="BH19" s="19"/>
      <c r="BI19" s="19"/>
      <c r="BJ19" s="19"/>
      <c r="BK19" s="19"/>
      <c r="BL19" s="70"/>
      <c r="BM19" s="70"/>
      <c r="BN19" s="70"/>
      <c r="BO19" s="70"/>
      <c r="BP19" s="70"/>
      <c r="BQ19" s="70"/>
      <c r="BR19" s="70"/>
      <c r="BS19" s="70"/>
      <c r="BT19" s="70"/>
      <c r="BU19" s="27"/>
      <c r="BV19" s="27"/>
      <c r="BW19" s="27"/>
      <c r="BX19" s="27"/>
      <c r="BY19" s="27"/>
      <c r="BZ19" s="27"/>
      <c r="CA19" s="70"/>
      <c r="CB19" s="70"/>
      <c r="CC19" s="70"/>
      <c r="CD19" s="70"/>
      <c r="CE19" s="27"/>
      <c r="CF19" s="27"/>
      <c r="CG19" s="27"/>
      <c r="CH19" s="27"/>
      <c r="CI19" s="27"/>
      <c r="CJ19" s="70"/>
      <c r="CK19" s="71"/>
      <c r="CL19" s="71"/>
      <c r="CM19" s="71"/>
      <c r="CN19" s="71"/>
      <c r="CO19" s="70"/>
      <c r="CP19" s="70"/>
      <c r="CQ19" s="70"/>
      <c r="CR19" s="70"/>
      <c r="CS19" s="70"/>
      <c r="CT19" s="68"/>
      <c r="CU19" s="72"/>
      <c r="CV19" s="72"/>
      <c r="CW19" s="72"/>
      <c r="CX19" s="72"/>
      <c r="CY19" s="73"/>
      <c r="CZ19" s="69"/>
      <c r="DA19" s="69"/>
      <c r="DB19" s="69"/>
      <c r="DC19" s="69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63"/>
      <c r="DV19" s="63"/>
      <c r="DW19" s="63"/>
      <c r="DX19" s="63"/>
      <c r="DY19" s="63"/>
      <c r="DZ19" s="11"/>
      <c r="EA19" s="11"/>
      <c r="EB19" s="11"/>
      <c r="EC19" s="11"/>
      <c r="ED19" s="28"/>
      <c r="EE19" s="28"/>
      <c r="EF19" s="28"/>
      <c r="EG19" s="28"/>
      <c r="EH19" s="109"/>
      <c r="EI19" s="19"/>
      <c r="EJ19" s="19"/>
      <c r="EK19" s="19"/>
      <c r="EL19" s="23"/>
      <c r="EM19" s="23"/>
      <c r="EN19" s="25"/>
      <c r="EO19" s="25"/>
      <c r="EP19" s="188"/>
      <c r="EQ19" s="25"/>
      <c r="ER19" s="25"/>
      <c r="ES19" s="25"/>
      <c r="ET19" s="25"/>
      <c r="EU19" s="25"/>
      <c r="EV19" s="25"/>
      <c r="EW19" s="23"/>
      <c r="EX19" s="19"/>
      <c r="EY19" s="19"/>
      <c r="EZ19" s="19"/>
      <c r="FA19" s="11"/>
      <c r="FB19" s="11"/>
      <c r="FC19" s="11"/>
      <c r="FD19" s="11"/>
      <c r="FE19" s="120"/>
      <c r="FF19" s="18"/>
      <c r="FG19" s="18"/>
      <c r="FH19" s="19"/>
      <c r="FI19" s="19"/>
      <c r="FJ19" s="20"/>
      <c r="FK19" s="86"/>
      <c r="FL19" s="23"/>
      <c r="FM19" s="23"/>
      <c r="FN19" s="23"/>
      <c r="FO19" s="23"/>
      <c r="FP19" s="23"/>
      <c r="FQ19" s="23"/>
      <c r="FR19" s="87"/>
      <c r="FS19" s="87"/>
      <c r="FT19" s="87"/>
      <c r="FU19" s="87"/>
      <c r="FV19" s="130"/>
      <c r="FW19" s="87"/>
      <c r="FX19" s="87"/>
      <c r="FY19" s="21"/>
      <c r="GD19" s="11"/>
      <c r="GE19" s="11"/>
      <c r="GF19" s="11"/>
      <c r="GG19" s="11"/>
      <c r="GH19" s="11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1"/>
      <c r="GU19" s="11"/>
      <c r="GV19" s="11"/>
      <c r="GW19" s="11"/>
    </row>
    <row r="20" spans="11:205" x14ac:dyDescent="0.25">
      <c r="K20" t="s">
        <v>136</v>
      </c>
      <c r="AB20" s="17"/>
      <c r="AC20" s="18"/>
      <c r="AD20" s="18"/>
      <c r="AE20" s="60" t="s">
        <v>68</v>
      </c>
      <c r="AF20" s="60"/>
      <c r="AG20" s="60"/>
      <c r="AH20" s="60"/>
      <c r="AI20" s="60"/>
      <c r="AJ20" s="11" t="s">
        <v>69</v>
      </c>
      <c r="AK20" s="60"/>
      <c r="AL20" s="86"/>
      <c r="AM20" s="24"/>
      <c r="AN20" s="89" t="s">
        <v>70</v>
      </c>
      <c r="AO20" s="89"/>
      <c r="AP20" s="89"/>
      <c r="AQ20" s="89"/>
      <c r="AR20" s="89"/>
      <c r="AS20" s="89"/>
      <c r="AT20" s="89"/>
      <c r="AU20" s="62" t="s">
        <v>69</v>
      </c>
      <c r="AV20" s="62"/>
      <c r="AW20" s="89"/>
      <c r="AX20" s="89"/>
      <c r="AY20" s="89"/>
      <c r="AZ20" s="60"/>
      <c r="BA20" s="60"/>
      <c r="BB20" s="60"/>
      <c r="BC20" s="90"/>
      <c r="BD20" s="60"/>
      <c r="BE20" s="60"/>
      <c r="BF20" s="61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62"/>
      <c r="BR20" s="62"/>
      <c r="BS20" s="62"/>
      <c r="BT20" s="62"/>
      <c r="BU20" s="75"/>
      <c r="BV20" s="75"/>
      <c r="BW20" s="75"/>
      <c r="BX20" s="75"/>
      <c r="BY20" s="75"/>
      <c r="BZ20" s="27"/>
      <c r="CA20" s="70"/>
      <c r="CB20" s="70"/>
      <c r="CC20" s="70"/>
      <c r="CD20" s="70"/>
      <c r="CE20" s="27"/>
      <c r="CF20" s="27"/>
      <c r="CG20" s="27"/>
      <c r="CH20" s="27"/>
      <c r="CI20" s="27"/>
      <c r="CJ20" s="70"/>
      <c r="CK20" s="71"/>
      <c r="CL20" s="71"/>
      <c r="CM20" s="71"/>
      <c r="CN20" s="71"/>
      <c r="CO20" s="70"/>
      <c r="CP20" s="70"/>
      <c r="CQ20" s="70"/>
      <c r="CR20" s="70"/>
      <c r="CS20" s="70"/>
      <c r="CT20" s="68"/>
      <c r="CU20" s="68"/>
      <c r="CV20" s="68"/>
      <c r="CW20" s="68"/>
      <c r="CX20" s="68"/>
      <c r="CY20" s="69"/>
      <c r="CZ20" s="69"/>
      <c r="DA20" s="69"/>
      <c r="DB20" s="69"/>
      <c r="DC20" s="69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63"/>
      <c r="DV20" s="63"/>
      <c r="DW20" s="63"/>
      <c r="DX20" s="63"/>
      <c r="DY20" s="63"/>
      <c r="DZ20" s="11"/>
      <c r="EA20" s="11"/>
      <c r="EB20" s="11"/>
      <c r="EC20" s="11"/>
      <c r="ED20" s="28"/>
      <c r="EE20" s="28"/>
      <c r="EF20" s="28"/>
      <c r="EG20" s="28"/>
      <c r="EH20" s="109"/>
      <c r="EI20" s="223"/>
      <c r="EJ20" s="223"/>
      <c r="EK20" s="221"/>
      <c r="EL20" s="112"/>
      <c r="EM20" s="112"/>
      <c r="EN20" s="29"/>
      <c r="EO20" s="29"/>
      <c r="EP20" s="189"/>
      <c r="EQ20" s="29"/>
      <c r="ER20" s="29"/>
      <c r="ES20" s="29"/>
      <c r="ET20" s="29"/>
      <c r="EU20" s="29"/>
      <c r="EV20" s="29"/>
      <c r="EW20" s="112"/>
      <c r="EX20" s="224"/>
      <c r="EY20" s="219"/>
      <c r="EZ20" s="113"/>
      <c r="FA20" s="10"/>
      <c r="FB20" s="10"/>
      <c r="FC20" s="10"/>
      <c r="FD20" s="10"/>
      <c r="FE20" s="121" t="s">
        <v>68</v>
      </c>
      <c r="FF20" s="60"/>
      <c r="FG20" s="60"/>
      <c r="FH20" s="11" t="s">
        <v>69</v>
      </c>
      <c r="FI20" s="11"/>
      <c r="FJ20" s="11"/>
      <c r="FK20" s="131" t="s">
        <v>70</v>
      </c>
      <c r="FL20" s="89"/>
      <c r="FM20" s="89"/>
      <c r="FN20" s="89"/>
      <c r="FO20" s="89"/>
      <c r="FP20" s="62" t="s">
        <v>69</v>
      </c>
      <c r="FQ20" s="89"/>
      <c r="FS20" s="89"/>
      <c r="FT20" s="89"/>
      <c r="FU20" s="89"/>
      <c r="FV20" s="90"/>
      <c r="FW20" s="60"/>
      <c r="FX20" s="60"/>
      <c r="FY20" s="60"/>
      <c r="GD20" s="11"/>
      <c r="GE20" s="11"/>
      <c r="GF20" s="11"/>
      <c r="GG20" s="11"/>
      <c r="GH20" s="11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1"/>
      <c r="GU20" s="11"/>
      <c r="GV20" s="11"/>
      <c r="GW20" s="11"/>
    </row>
    <row r="21" spans="11:205" x14ac:dyDescent="0.25">
      <c r="AB21" s="17"/>
      <c r="AC21" s="18"/>
      <c r="AD21" s="18"/>
      <c r="AE21" s="33" t="s">
        <v>71</v>
      </c>
      <c r="AF21" s="33"/>
      <c r="AG21" s="33"/>
      <c r="AH21" s="33"/>
      <c r="AI21" s="33"/>
      <c r="AJ21" s="33"/>
      <c r="AK21" s="33"/>
      <c r="AL21" s="86"/>
      <c r="AM21" s="24"/>
      <c r="AN21" s="33" t="s">
        <v>72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5"/>
      <c r="BD21" s="33"/>
      <c r="BE21" s="33"/>
      <c r="BF21" s="33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70"/>
      <c r="BR21" s="70"/>
      <c r="BS21" s="70"/>
      <c r="BT21" s="70"/>
      <c r="BU21" s="27"/>
      <c r="BV21" s="27"/>
      <c r="BW21" s="27"/>
      <c r="BX21" s="27"/>
      <c r="BY21" s="27"/>
      <c r="BZ21" s="27"/>
      <c r="CA21" s="70"/>
      <c r="CB21" s="70"/>
      <c r="CC21" s="70"/>
      <c r="CD21" s="70"/>
      <c r="CE21" s="27"/>
      <c r="CF21" s="27"/>
      <c r="CG21" s="27"/>
      <c r="CH21" s="27"/>
      <c r="CI21" s="27"/>
      <c r="CJ21" s="70"/>
      <c r="CK21" s="71"/>
      <c r="CL21" s="71"/>
      <c r="CM21" s="71"/>
      <c r="CN21" s="71"/>
      <c r="CO21" s="70"/>
      <c r="CP21" s="70"/>
      <c r="CQ21" s="70"/>
      <c r="CR21" s="70"/>
      <c r="CS21" s="70"/>
      <c r="CT21" s="68"/>
      <c r="CU21" s="68"/>
      <c r="CV21" s="68"/>
      <c r="CW21" s="68"/>
      <c r="CX21" s="68"/>
      <c r="CY21" s="69"/>
      <c r="CZ21" s="69"/>
      <c r="DA21" s="69"/>
      <c r="DB21" s="69"/>
      <c r="DC21" s="69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63"/>
      <c r="DV21" s="63"/>
      <c r="DW21" s="63"/>
      <c r="DX21" s="63"/>
      <c r="DY21" s="63"/>
      <c r="DZ21" s="30"/>
      <c r="EA21" s="30"/>
      <c r="EB21" s="30"/>
      <c r="EC21" s="30"/>
      <c r="ED21" s="31"/>
      <c r="EE21" s="31"/>
      <c r="EF21" s="31"/>
      <c r="EG21" s="31"/>
      <c r="EH21" s="109"/>
      <c r="EI21" s="218"/>
      <c r="EJ21" s="218"/>
      <c r="EK21" s="219"/>
      <c r="EL21" s="33"/>
      <c r="EM21" s="33"/>
      <c r="EN21" s="34"/>
      <c r="EO21" s="34"/>
      <c r="EP21" s="190"/>
      <c r="EQ21" s="34"/>
      <c r="ER21" s="34"/>
      <c r="ES21" s="34"/>
      <c r="ET21" s="34"/>
      <c r="EU21" s="34"/>
      <c r="EV21" s="34"/>
      <c r="EW21" s="33"/>
      <c r="EX21" s="218"/>
      <c r="EY21" s="219"/>
      <c r="EZ21" s="33"/>
      <c r="FA21" s="19"/>
      <c r="FB21" s="19"/>
      <c r="FC21" s="19"/>
      <c r="FD21" s="19"/>
      <c r="FE21" s="122" t="s">
        <v>71</v>
      </c>
      <c r="FF21" s="33"/>
      <c r="FG21" s="33"/>
      <c r="FH21" s="33"/>
      <c r="FI21" s="33"/>
      <c r="FJ21" s="33"/>
      <c r="FK21" s="122" t="s">
        <v>72</v>
      </c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5"/>
      <c r="FW21" s="33"/>
      <c r="FX21" s="33"/>
      <c r="FY21" s="33"/>
      <c r="GD21" s="30"/>
      <c r="GE21" s="30"/>
      <c r="GF21" s="30"/>
      <c r="GG21" s="30"/>
      <c r="GH21" s="30"/>
      <c r="GI21" s="16"/>
      <c r="GJ21" s="16"/>
      <c r="GK21" s="16"/>
      <c r="GL21" s="16"/>
      <c r="GM21" s="16"/>
      <c r="GN21" s="16"/>
      <c r="GO21" s="16"/>
      <c r="GP21" s="16"/>
      <c r="GQ21" s="16"/>
      <c r="GR21" s="36"/>
      <c r="GS21" s="36"/>
      <c r="GT21" s="30"/>
      <c r="GU21" s="30"/>
      <c r="GV21" s="30"/>
      <c r="GW21" s="30"/>
    </row>
    <row r="22" spans="11:205" ht="15.75" thickBot="1" x14ac:dyDescent="0.3">
      <c r="K22" t="s">
        <v>137</v>
      </c>
      <c r="L22" t="s">
        <v>139</v>
      </c>
      <c r="AB22" s="37"/>
      <c r="AC22" s="38"/>
      <c r="AD22" s="38"/>
      <c r="AE22" s="39" t="s">
        <v>73</v>
      </c>
      <c r="AF22" s="39"/>
      <c r="AG22" s="39"/>
      <c r="AH22" s="39"/>
      <c r="AI22" s="39"/>
      <c r="AJ22" s="39"/>
      <c r="AK22" s="39"/>
      <c r="AL22" s="91"/>
      <c r="AM22" s="166"/>
      <c r="AN22" s="39" t="s">
        <v>74</v>
      </c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40"/>
      <c r="BD22" s="33"/>
      <c r="BE22" s="33"/>
      <c r="BF22" s="33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70"/>
      <c r="BR22" s="70"/>
      <c r="BS22" s="70"/>
      <c r="BT22" s="70"/>
      <c r="BU22" s="27"/>
      <c r="BV22" s="27"/>
      <c r="BW22" s="27"/>
      <c r="BX22" s="27"/>
      <c r="BY22" s="27"/>
      <c r="BZ22" s="27"/>
      <c r="CA22" s="70"/>
      <c r="CB22" s="70"/>
      <c r="CC22" s="70"/>
      <c r="CD22" s="70"/>
      <c r="CE22" s="27"/>
      <c r="CF22" s="27"/>
      <c r="CG22" s="27"/>
      <c r="CH22" s="27"/>
      <c r="CI22" s="27"/>
      <c r="CJ22" s="70"/>
      <c r="CK22" s="71"/>
      <c r="CL22" s="71"/>
      <c r="CM22" s="71"/>
      <c r="CN22" s="71"/>
      <c r="CO22" s="70"/>
      <c r="CP22" s="70"/>
      <c r="CQ22" s="70"/>
      <c r="CR22" s="70"/>
      <c r="CS22" s="70"/>
      <c r="CT22" s="68"/>
      <c r="CU22" s="68"/>
      <c r="CV22" s="68"/>
      <c r="CW22" s="68"/>
      <c r="CX22" s="68"/>
      <c r="CY22" s="69"/>
      <c r="CZ22" s="69"/>
      <c r="DA22" s="69"/>
      <c r="DB22" s="69"/>
      <c r="DC22" s="69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76"/>
      <c r="DV22" s="76"/>
      <c r="DW22" s="76"/>
      <c r="DX22" s="76"/>
      <c r="DY22" s="76"/>
      <c r="DZ22" s="30"/>
      <c r="EA22" s="30"/>
      <c r="EB22" s="30"/>
      <c r="EC22" s="30"/>
      <c r="ED22" s="31"/>
      <c r="EE22" s="31"/>
      <c r="EF22" s="31"/>
      <c r="EG22" s="31"/>
      <c r="EH22" s="109"/>
      <c r="EI22" s="218"/>
      <c r="EJ22" s="218"/>
      <c r="EK22" s="221"/>
      <c r="EL22" s="33"/>
      <c r="EM22" s="33"/>
      <c r="EN22" s="34"/>
      <c r="EO22" s="34"/>
      <c r="EP22" s="190"/>
      <c r="EQ22" s="34"/>
      <c r="ER22" s="34"/>
      <c r="ES22" s="34"/>
      <c r="ET22" s="34"/>
      <c r="EU22" s="34"/>
      <c r="EV22" s="34"/>
      <c r="EW22" s="33"/>
      <c r="EX22" s="218"/>
      <c r="EY22" s="221"/>
      <c r="EZ22" s="33"/>
      <c r="FA22" s="19"/>
      <c r="FB22" s="19"/>
      <c r="FC22" s="19"/>
      <c r="FD22" s="19"/>
      <c r="FE22" s="123" t="s">
        <v>73</v>
      </c>
      <c r="FF22" s="39"/>
      <c r="FG22" s="39"/>
      <c r="FH22" s="39"/>
      <c r="FI22" s="39"/>
      <c r="FJ22" s="39"/>
      <c r="FK22" s="133" t="s">
        <v>74</v>
      </c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134"/>
      <c r="FW22" s="33"/>
      <c r="FX22" s="33"/>
      <c r="FY22" s="33"/>
      <c r="GD22" s="30"/>
      <c r="GE22" s="30"/>
      <c r="GF22" s="30"/>
      <c r="GG22" s="30"/>
      <c r="GH22" s="30"/>
      <c r="GI22" s="16"/>
      <c r="GJ22" s="16"/>
      <c r="GK22" s="16"/>
      <c r="GL22" s="16"/>
      <c r="GM22" s="16"/>
      <c r="GN22" s="16"/>
      <c r="GO22" s="16"/>
      <c r="GP22" s="16"/>
      <c r="GQ22" s="16"/>
      <c r="GR22" s="36"/>
      <c r="GS22" s="36"/>
      <c r="GT22" s="30"/>
      <c r="GU22" s="30"/>
      <c r="GV22" s="30"/>
      <c r="GW22" s="30"/>
    </row>
    <row r="23" spans="11:205" ht="15.75" thickBot="1" x14ac:dyDescent="0.3">
      <c r="K23" t="s">
        <v>138</v>
      </c>
      <c r="L23" t="s">
        <v>140</v>
      </c>
      <c r="AB23" s="41" t="s">
        <v>75</v>
      </c>
      <c r="AC23" s="19" t="s">
        <v>89</v>
      </c>
      <c r="AD23" s="42"/>
      <c r="AE23" s="19"/>
      <c r="AF23" s="19"/>
      <c r="AG23" s="20"/>
      <c r="AH23" s="19"/>
      <c r="AI23" s="21"/>
      <c r="AJ23" s="22"/>
      <c r="AK23" s="23"/>
      <c r="AL23" s="92" t="s">
        <v>76</v>
      </c>
      <c r="AM23" s="167"/>
      <c r="AN23" s="6" t="s">
        <v>77</v>
      </c>
      <c r="AO23" s="23"/>
      <c r="AP23" s="23"/>
      <c r="AQ23" s="23"/>
      <c r="AR23" s="23"/>
      <c r="AS23" s="23"/>
      <c r="AT23" s="23"/>
      <c r="AU23" s="87"/>
      <c r="AV23" s="87"/>
      <c r="AW23" s="87"/>
      <c r="AX23" s="87"/>
      <c r="AY23" s="43" t="s">
        <v>78</v>
      </c>
      <c r="AZ23" s="19"/>
      <c r="BA23" s="87"/>
      <c r="BB23" s="87"/>
      <c r="BC23" s="88"/>
      <c r="BD23" s="21"/>
      <c r="BE23" s="21"/>
      <c r="BF23" s="21"/>
      <c r="BG23" s="19"/>
      <c r="BH23" s="19"/>
      <c r="BI23" s="19"/>
      <c r="BJ23" s="19"/>
      <c r="BK23" s="19"/>
      <c r="BL23" s="70"/>
      <c r="BM23" s="70"/>
      <c r="BN23" s="70"/>
      <c r="BO23" s="70"/>
      <c r="BP23" s="70"/>
      <c r="BQ23" s="70"/>
      <c r="BR23" s="70"/>
      <c r="BS23" s="70"/>
      <c r="BT23" s="70"/>
      <c r="BU23" s="27"/>
      <c r="BV23" s="27"/>
      <c r="BW23" s="27"/>
      <c r="BX23" s="27"/>
      <c r="BY23" s="27"/>
      <c r="BZ23" s="27"/>
      <c r="CA23" s="77"/>
      <c r="CB23" s="77"/>
      <c r="CC23" s="77"/>
      <c r="CD23" s="77"/>
      <c r="CE23" s="19"/>
      <c r="CF23" s="27"/>
      <c r="CG23" s="27"/>
      <c r="CH23" s="27"/>
      <c r="CI23" s="27"/>
      <c r="CJ23" s="70"/>
      <c r="CK23" s="71"/>
      <c r="CL23" s="71"/>
      <c r="CM23" s="71"/>
      <c r="CN23" s="71"/>
      <c r="CO23" s="70"/>
      <c r="CP23" s="70"/>
      <c r="CQ23" s="70"/>
      <c r="CR23" s="70"/>
      <c r="CS23" s="70"/>
      <c r="CT23" s="68"/>
      <c r="CU23" s="68"/>
      <c r="CV23" s="68"/>
      <c r="CW23" s="68"/>
      <c r="CX23" s="68"/>
      <c r="CY23" s="69"/>
      <c r="CZ23" s="69"/>
      <c r="DA23" s="69"/>
      <c r="DB23" s="69"/>
      <c r="DC23" s="69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76"/>
      <c r="DV23" s="76"/>
      <c r="DW23" s="76"/>
      <c r="DX23" s="76"/>
      <c r="DY23" s="76"/>
      <c r="DZ23" s="30"/>
      <c r="EA23" s="30"/>
      <c r="EB23" s="30"/>
      <c r="EC23" s="30"/>
      <c r="ED23" s="31"/>
      <c r="EE23" s="31"/>
      <c r="EF23" s="31"/>
      <c r="EG23" s="31"/>
      <c r="EH23" s="109"/>
      <c r="EI23" s="19"/>
      <c r="EJ23" s="19"/>
      <c r="EK23" s="19"/>
      <c r="EL23" s="23"/>
      <c r="EM23" s="23"/>
      <c r="EN23" s="25"/>
      <c r="EO23" s="25"/>
      <c r="EP23" s="188"/>
      <c r="EQ23" s="25"/>
      <c r="ER23" s="25"/>
      <c r="ES23" s="25"/>
      <c r="ET23" s="25"/>
      <c r="EU23" s="25"/>
      <c r="EV23" s="25"/>
      <c r="EW23" s="23"/>
      <c r="EX23" s="19"/>
      <c r="EY23" s="19"/>
      <c r="EZ23" s="114"/>
      <c r="FA23" s="19"/>
      <c r="FB23" s="19"/>
      <c r="FC23" s="19"/>
      <c r="FD23" s="19"/>
      <c r="FE23" s="124" t="s">
        <v>75</v>
      </c>
      <c r="FF23" s="19" t="s">
        <v>89</v>
      </c>
      <c r="FG23" s="42"/>
      <c r="FH23" s="19"/>
      <c r="FI23" s="19"/>
      <c r="FJ23" s="20"/>
      <c r="FK23" s="141" t="s">
        <v>76</v>
      </c>
      <c r="FL23" s="19" t="s">
        <v>77</v>
      </c>
      <c r="FM23" s="23"/>
      <c r="FN23" s="23"/>
      <c r="FO23" s="23"/>
      <c r="FP23" s="23"/>
      <c r="FQ23" s="23"/>
      <c r="FR23" s="130"/>
      <c r="FS23" s="140" t="s">
        <v>78</v>
      </c>
      <c r="FT23" s="19"/>
      <c r="FU23" s="87"/>
      <c r="FV23" s="130"/>
      <c r="FW23" s="21"/>
      <c r="FX23" s="87"/>
      <c r="FY23" s="21"/>
      <c r="GD23" s="30"/>
      <c r="GE23" s="30"/>
      <c r="GF23" s="30"/>
      <c r="GG23" s="30"/>
      <c r="GH23" s="30"/>
      <c r="GI23" s="16"/>
      <c r="GJ23" s="16"/>
      <c r="GK23" s="16"/>
      <c r="GL23" s="16"/>
      <c r="GM23" s="16"/>
      <c r="GN23" s="16"/>
      <c r="GO23" s="16"/>
      <c r="GP23" s="16"/>
      <c r="GQ23" s="16"/>
      <c r="GR23" s="36"/>
      <c r="GS23" s="36"/>
      <c r="GT23" s="30"/>
      <c r="GU23" s="30"/>
      <c r="GV23" s="30"/>
      <c r="GW23" s="30"/>
    </row>
    <row r="24" spans="11:205" x14ac:dyDescent="0.25">
      <c r="K24" t="s">
        <v>141</v>
      </c>
      <c r="L24" t="s">
        <v>142</v>
      </c>
      <c r="AB24" s="17"/>
      <c r="AC24" s="24" t="s">
        <v>79</v>
      </c>
      <c r="AD24" s="18"/>
      <c r="AE24" s="24"/>
      <c r="AF24" s="24"/>
      <c r="AG24" s="20"/>
      <c r="AH24" s="19"/>
      <c r="AI24" s="21"/>
      <c r="AJ24" s="22"/>
      <c r="AK24" s="23"/>
      <c r="AL24" s="86"/>
      <c r="AM24" s="24"/>
      <c r="AN24" s="19" t="s">
        <v>80</v>
      </c>
      <c r="AO24" s="23"/>
      <c r="AP24" s="23"/>
      <c r="AQ24" s="23"/>
      <c r="AR24" s="23"/>
      <c r="AS24" s="23"/>
      <c r="AT24" s="23"/>
      <c r="AU24" s="87"/>
      <c r="AV24" s="87"/>
      <c r="AW24" s="87"/>
      <c r="AX24" s="87"/>
      <c r="AY24" s="44"/>
      <c r="AZ24" s="19" t="s">
        <v>81</v>
      </c>
      <c r="BA24" s="87"/>
      <c r="BB24" s="87"/>
      <c r="BC24" s="88"/>
      <c r="BD24" s="21"/>
      <c r="BE24" s="21"/>
      <c r="BF24" s="21"/>
      <c r="BG24" s="19"/>
      <c r="BH24" s="19"/>
      <c r="BI24" s="19"/>
      <c r="BJ24" s="19"/>
      <c r="BK24" s="19"/>
      <c r="BL24" s="70"/>
      <c r="BM24" s="70"/>
      <c r="BN24" s="70"/>
      <c r="BO24" s="70"/>
      <c r="BP24" s="70"/>
      <c r="BQ24" s="70"/>
      <c r="BR24" s="70"/>
      <c r="BS24" s="70"/>
      <c r="BT24" s="70"/>
      <c r="BU24" s="27"/>
      <c r="BV24" s="27"/>
      <c r="BW24" s="27"/>
      <c r="BX24" s="27"/>
      <c r="BY24" s="27"/>
      <c r="BZ24" s="27"/>
      <c r="CA24" s="19"/>
      <c r="CB24" s="19"/>
      <c r="CC24" s="19"/>
      <c r="CD24" s="19"/>
      <c r="CE24" s="19"/>
      <c r="CF24" s="19"/>
      <c r="CG24" s="19"/>
      <c r="CH24" s="19"/>
      <c r="CI24" s="19"/>
      <c r="CJ24" s="70"/>
      <c r="CK24" s="78"/>
      <c r="CL24" s="78"/>
      <c r="CM24" s="78"/>
      <c r="CN24" s="78"/>
      <c r="CO24" s="70"/>
      <c r="CP24" s="70"/>
      <c r="CQ24" s="70"/>
      <c r="CR24" s="70"/>
      <c r="CS24" s="70"/>
      <c r="CT24" s="68"/>
      <c r="CU24" s="68"/>
      <c r="CV24" s="68"/>
      <c r="CW24" s="68"/>
      <c r="CX24" s="68"/>
      <c r="CY24" s="69"/>
      <c r="CZ24" s="69"/>
      <c r="DA24" s="69"/>
      <c r="DB24" s="69"/>
      <c r="DC24" s="69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76"/>
      <c r="DV24" s="76"/>
      <c r="DW24" s="76"/>
      <c r="DX24" s="76"/>
      <c r="DY24" s="76"/>
      <c r="DZ24" s="30"/>
      <c r="EA24" s="30"/>
      <c r="EB24" s="30"/>
      <c r="EC24" s="30"/>
      <c r="ED24" s="31"/>
      <c r="EE24" s="31"/>
      <c r="EF24" s="31"/>
      <c r="EG24" s="31"/>
      <c r="EH24" s="109"/>
      <c r="EI24" s="24"/>
      <c r="EJ24" s="24"/>
      <c r="EK24" s="103"/>
      <c r="EL24" s="30"/>
      <c r="EM24" s="30"/>
      <c r="EN24" s="45"/>
      <c r="EO24" s="45"/>
      <c r="EP24" s="191"/>
      <c r="EQ24" s="45"/>
      <c r="ER24" s="45"/>
      <c r="ES24" s="45"/>
      <c r="ET24" s="45"/>
      <c r="EU24" s="45"/>
      <c r="EV24" s="45"/>
      <c r="EW24" s="30"/>
      <c r="EX24" s="19"/>
      <c r="EY24" s="30"/>
      <c r="EZ24" s="19"/>
      <c r="FA24" s="46"/>
      <c r="FB24" s="46"/>
      <c r="FC24" s="46"/>
      <c r="FD24" s="46"/>
      <c r="FE24" s="120"/>
      <c r="FF24" s="24" t="s">
        <v>79</v>
      </c>
      <c r="FG24" s="18"/>
      <c r="FH24" s="24"/>
      <c r="FI24" s="24"/>
      <c r="FJ24" s="20"/>
      <c r="FK24" s="86"/>
      <c r="FL24" s="19" t="s">
        <v>80</v>
      </c>
      <c r="FM24" s="23"/>
      <c r="FN24" s="23"/>
      <c r="FO24" s="23"/>
      <c r="FP24" s="23"/>
      <c r="FQ24" s="23"/>
      <c r="FR24" s="130"/>
      <c r="FS24" s="137"/>
      <c r="FT24" s="19" t="s">
        <v>81</v>
      </c>
      <c r="FU24" s="87"/>
      <c r="FV24" s="130"/>
      <c r="FW24" s="21"/>
      <c r="FX24" s="87"/>
      <c r="FY24" s="21"/>
      <c r="GD24" s="30"/>
      <c r="GE24" s="30"/>
      <c r="GF24" s="30"/>
      <c r="GG24" s="30"/>
      <c r="GH24" s="30"/>
      <c r="GI24" s="16"/>
      <c r="GJ24" s="16"/>
      <c r="GK24" s="16"/>
      <c r="GL24" s="16"/>
      <c r="GM24" s="16"/>
      <c r="GN24" s="16"/>
      <c r="GO24" s="16"/>
      <c r="GP24" s="16"/>
      <c r="GQ24" s="16"/>
      <c r="GR24" s="36"/>
      <c r="GS24" s="36"/>
      <c r="GT24" s="30"/>
      <c r="GU24" s="30"/>
      <c r="GV24" s="30"/>
      <c r="GW24" s="30"/>
    </row>
    <row r="25" spans="11:205" x14ac:dyDescent="0.25">
      <c r="AB25" s="17"/>
      <c r="AC25" s="18"/>
      <c r="AD25" s="18"/>
      <c r="AE25" s="19"/>
      <c r="AF25" s="19"/>
      <c r="AG25" s="20"/>
      <c r="AH25" s="19"/>
      <c r="AI25" s="21"/>
      <c r="AJ25" s="22"/>
      <c r="AK25" s="23"/>
      <c r="AL25" s="86"/>
      <c r="AM25" s="24"/>
      <c r="AN25" s="23"/>
      <c r="AO25" s="23"/>
      <c r="AP25" s="23"/>
      <c r="AQ25" s="23"/>
      <c r="AR25" s="23"/>
      <c r="AS25" s="23"/>
      <c r="AT25" s="23"/>
      <c r="AU25" s="87"/>
      <c r="AV25" s="87"/>
      <c r="AW25" s="87"/>
      <c r="AX25" s="87"/>
      <c r="AY25" s="44"/>
      <c r="AZ25" s="19" t="s">
        <v>82</v>
      </c>
      <c r="BA25" s="87"/>
      <c r="BB25" s="87"/>
      <c r="BC25" s="88"/>
      <c r="BD25" s="21"/>
      <c r="BE25" s="21"/>
      <c r="BF25" s="21"/>
      <c r="BG25" s="19"/>
      <c r="BH25" s="19"/>
      <c r="BI25" s="19"/>
      <c r="BJ25" s="19"/>
      <c r="BK25" s="19"/>
      <c r="BL25" s="70"/>
      <c r="BM25" s="70"/>
      <c r="BN25" s="70"/>
      <c r="BO25" s="70"/>
      <c r="BP25" s="70"/>
      <c r="BQ25" s="70"/>
      <c r="BR25" s="70"/>
      <c r="BS25" s="70"/>
      <c r="BT25" s="70"/>
      <c r="BU25" s="27"/>
      <c r="BV25" s="27"/>
      <c r="BW25" s="27"/>
      <c r="BX25" s="27"/>
      <c r="BY25" s="27"/>
      <c r="BZ25" s="27"/>
      <c r="CA25" s="19"/>
      <c r="CB25" s="19"/>
      <c r="CC25" s="19"/>
      <c r="CD25" s="19"/>
      <c r="CE25" s="19"/>
      <c r="CF25" s="19"/>
      <c r="CG25" s="19"/>
      <c r="CH25" s="19"/>
      <c r="CI25" s="19"/>
      <c r="CJ25" s="70"/>
      <c r="CK25" s="78"/>
      <c r="CL25" s="78"/>
      <c r="CM25" s="78"/>
      <c r="CN25" s="78"/>
      <c r="CO25" s="70"/>
      <c r="CP25" s="70"/>
      <c r="CQ25" s="70"/>
      <c r="CR25" s="70"/>
      <c r="CS25" s="70"/>
      <c r="CT25" s="68"/>
      <c r="CU25" s="68"/>
      <c r="CV25" s="68"/>
      <c r="CW25" s="68"/>
      <c r="CX25" s="68"/>
      <c r="CY25" s="69"/>
      <c r="CZ25" s="69"/>
      <c r="DA25" s="69"/>
      <c r="DB25" s="69"/>
      <c r="DC25" s="69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76"/>
      <c r="DV25" s="76"/>
      <c r="DW25" s="76"/>
      <c r="DX25" s="76"/>
      <c r="DY25" s="76"/>
      <c r="DZ25" s="30"/>
      <c r="EA25" s="30"/>
      <c r="EB25" s="30"/>
      <c r="EC25" s="30"/>
      <c r="ED25" s="31"/>
      <c r="EE25" s="31"/>
      <c r="EF25" s="31"/>
      <c r="EG25" s="31"/>
      <c r="EH25" s="109"/>
      <c r="EI25" s="19"/>
      <c r="EJ25" s="19"/>
      <c r="EK25" s="30"/>
      <c r="EL25" s="115"/>
      <c r="EM25" s="115"/>
      <c r="EN25" s="47"/>
      <c r="EO25" s="47"/>
      <c r="EP25" s="192"/>
      <c r="EQ25" s="47"/>
      <c r="ER25" s="47"/>
      <c r="ES25" s="47"/>
      <c r="ET25" s="47"/>
      <c r="EU25" s="47"/>
      <c r="EV25" s="47"/>
      <c r="EW25" s="115"/>
      <c r="EX25" s="30"/>
      <c r="EY25" s="19"/>
      <c r="EZ25" s="19"/>
      <c r="FA25" s="19"/>
      <c r="FB25" s="19"/>
      <c r="FC25" s="19"/>
      <c r="FD25" s="19"/>
      <c r="FE25" s="120"/>
      <c r="FF25" s="18"/>
      <c r="FG25" s="18"/>
      <c r="FH25" s="19"/>
      <c r="FI25" s="19"/>
      <c r="FJ25" s="20"/>
      <c r="FK25" s="86"/>
      <c r="FL25" s="23"/>
      <c r="FM25" s="23"/>
      <c r="FN25" s="23"/>
      <c r="FO25" s="23"/>
      <c r="FP25" s="23"/>
      <c r="FQ25" s="23"/>
      <c r="FR25" s="130"/>
      <c r="FS25" s="137"/>
      <c r="FT25" s="19" t="s">
        <v>82</v>
      </c>
      <c r="FU25" s="87"/>
      <c r="FV25" s="130"/>
      <c r="FW25" s="21"/>
      <c r="FX25" s="87"/>
      <c r="FY25" s="21"/>
      <c r="GD25" s="30"/>
      <c r="GE25" s="30"/>
      <c r="GF25" s="30"/>
      <c r="GG25" s="30"/>
      <c r="GH25" s="30"/>
      <c r="GI25" s="16"/>
      <c r="GJ25" s="16"/>
      <c r="GK25" s="16"/>
      <c r="GL25" s="16"/>
      <c r="GM25" s="16"/>
      <c r="GN25" s="16"/>
      <c r="GO25" s="16"/>
      <c r="GP25" s="16"/>
      <c r="GQ25" s="16"/>
      <c r="GR25" s="36"/>
      <c r="GS25" s="36"/>
      <c r="GT25" s="30"/>
      <c r="GU25" s="30"/>
      <c r="GV25" s="30"/>
      <c r="GW25" s="30"/>
    </row>
    <row r="26" spans="11:205" x14ac:dyDescent="0.25">
      <c r="AB26" s="17"/>
      <c r="AC26" s="18"/>
      <c r="AD26" s="18"/>
      <c r="AE26" s="19"/>
      <c r="AF26" s="19"/>
      <c r="AG26" s="20"/>
      <c r="AH26" s="19"/>
      <c r="AI26" s="21"/>
      <c r="AJ26" s="22"/>
      <c r="AK26" s="23"/>
      <c r="AL26" s="86"/>
      <c r="AM26" s="24"/>
      <c r="AN26" s="23"/>
      <c r="AO26" s="23"/>
      <c r="AP26" s="23"/>
      <c r="AQ26" s="23"/>
      <c r="AR26" s="23"/>
      <c r="AS26" s="23"/>
      <c r="AT26" s="23"/>
      <c r="AU26" s="87"/>
      <c r="AV26" s="87"/>
      <c r="AW26" s="87"/>
      <c r="AX26" s="87"/>
      <c r="AY26" s="44"/>
      <c r="AZ26" s="19" t="s">
        <v>83</v>
      </c>
      <c r="BA26" s="87"/>
      <c r="BB26" s="87"/>
      <c r="BC26" s="88"/>
      <c r="BD26" s="21"/>
      <c r="BE26" s="21"/>
      <c r="BF26" s="21"/>
      <c r="BG26" s="19"/>
      <c r="BH26" s="19"/>
      <c r="BI26" s="19"/>
      <c r="BJ26" s="19"/>
      <c r="BK26" s="19"/>
      <c r="BL26" s="70"/>
      <c r="BM26" s="70"/>
      <c r="BN26" s="70"/>
      <c r="BO26" s="70"/>
      <c r="BP26" s="70"/>
      <c r="BQ26" s="70"/>
      <c r="BR26" s="70"/>
      <c r="BS26" s="70"/>
      <c r="BT26" s="70"/>
      <c r="BU26" s="27"/>
      <c r="BV26" s="27"/>
      <c r="BW26" s="27"/>
      <c r="BX26" s="27"/>
      <c r="BY26" s="27"/>
      <c r="BZ26" s="27"/>
      <c r="CA26" s="19"/>
      <c r="CB26" s="19"/>
      <c r="CC26" s="19"/>
      <c r="CD26" s="19"/>
      <c r="CE26" s="19"/>
      <c r="CF26" s="19"/>
      <c r="CG26" s="19"/>
      <c r="CH26" s="19"/>
      <c r="CI26" s="19"/>
      <c r="CJ26" s="70"/>
      <c r="CK26" s="78"/>
      <c r="CL26" s="78"/>
      <c r="CM26" s="78"/>
      <c r="CN26" s="78"/>
      <c r="CO26" s="70"/>
      <c r="CP26" s="70"/>
      <c r="CQ26" s="70"/>
      <c r="CR26" s="70"/>
      <c r="CS26" s="70"/>
      <c r="CT26" s="68"/>
      <c r="CU26" s="68"/>
      <c r="CV26" s="68"/>
      <c r="CW26" s="68"/>
      <c r="CX26" s="68"/>
      <c r="CY26" s="69"/>
      <c r="CZ26" s="69"/>
      <c r="DA26" s="69"/>
      <c r="DB26" s="69"/>
      <c r="DC26" s="69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76"/>
      <c r="DV26" s="76"/>
      <c r="DW26" s="76"/>
      <c r="DX26" s="76"/>
      <c r="DY26" s="76"/>
      <c r="DZ26" s="30"/>
      <c r="EA26" s="30"/>
      <c r="EB26" s="30"/>
      <c r="EC26" s="30"/>
      <c r="ED26" s="31"/>
      <c r="EE26" s="31"/>
      <c r="EF26" s="31"/>
      <c r="EG26" s="31"/>
      <c r="EH26" s="109"/>
      <c r="EI26" s="19"/>
      <c r="EJ26" s="19"/>
      <c r="EK26" s="19"/>
      <c r="EL26" s="23"/>
      <c r="EM26" s="23"/>
      <c r="EN26" s="25"/>
      <c r="EO26" s="25"/>
      <c r="EP26" s="188"/>
      <c r="EQ26" s="25"/>
      <c r="ER26" s="25"/>
      <c r="ES26" s="25"/>
      <c r="ET26" s="25"/>
      <c r="EU26" s="25"/>
      <c r="EV26" s="25"/>
      <c r="EW26" s="23"/>
      <c r="EX26" s="19"/>
      <c r="EY26" s="19"/>
      <c r="EZ26" s="19"/>
      <c r="FA26" s="19"/>
      <c r="FB26" s="19"/>
      <c r="FC26" s="19"/>
      <c r="FD26" s="19"/>
      <c r="FE26" s="120"/>
      <c r="FF26" s="18"/>
      <c r="FG26" s="18"/>
      <c r="FH26" s="19"/>
      <c r="FI26" s="19"/>
      <c r="FJ26" s="20"/>
      <c r="FK26" s="86"/>
      <c r="FL26" s="23"/>
      <c r="FM26" s="23"/>
      <c r="FN26" s="23"/>
      <c r="FO26" s="23"/>
      <c r="FP26" s="23"/>
      <c r="FQ26" s="23"/>
      <c r="FR26" s="130"/>
      <c r="FS26" s="137"/>
      <c r="FT26" s="19" t="s">
        <v>83</v>
      </c>
      <c r="FU26" s="87"/>
      <c r="FV26" s="130"/>
      <c r="FW26" s="21"/>
      <c r="FX26" s="87"/>
      <c r="FY26" s="21"/>
      <c r="GD26" s="30"/>
      <c r="GE26" s="30"/>
      <c r="GF26" s="30"/>
      <c r="GG26" s="30"/>
      <c r="GH26" s="30"/>
      <c r="GI26" s="16"/>
      <c r="GJ26" s="16"/>
      <c r="GK26" s="16"/>
      <c r="GL26" s="16"/>
      <c r="GM26" s="16"/>
      <c r="GN26" s="16"/>
      <c r="GO26" s="16"/>
      <c r="GP26" s="16"/>
      <c r="GQ26" s="16"/>
      <c r="GR26" s="36"/>
      <c r="GS26" s="36"/>
      <c r="GT26" s="30"/>
      <c r="GU26" s="30"/>
      <c r="GV26" s="30"/>
      <c r="GW26" s="30"/>
    </row>
    <row r="27" spans="11:205" x14ac:dyDescent="0.25">
      <c r="AB27" s="17"/>
      <c r="AC27" s="18"/>
      <c r="AD27" s="18"/>
      <c r="AE27" s="48"/>
      <c r="AF27" s="48"/>
      <c r="AG27" s="32"/>
      <c r="AH27" s="48"/>
      <c r="AI27" s="49"/>
      <c r="AJ27" s="50"/>
      <c r="AK27" s="32"/>
      <c r="AL27" s="86"/>
      <c r="AM27" s="24"/>
      <c r="AN27" s="61" t="s">
        <v>85</v>
      </c>
      <c r="AO27" s="61"/>
      <c r="AP27" s="61"/>
      <c r="AQ27" s="61"/>
      <c r="AR27" s="61"/>
      <c r="AS27" s="61"/>
      <c r="AT27" s="61"/>
      <c r="AU27" s="62" t="s">
        <v>69</v>
      </c>
      <c r="AV27" s="62"/>
      <c r="AW27" s="61"/>
      <c r="AX27" s="61"/>
      <c r="AY27" s="44"/>
      <c r="AZ27" s="19" t="s">
        <v>82</v>
      </c>
      <c r="BA27" s="93"/>
      <c r="BB27" s="93"/>
      <c r="BC27" s="94"/>
      <c r="BD27" s="49"/>
      <c r="BE27" s="49"/>
      <c r="BF27" s="49"/>
      <c r="BG27" s="19"/>
      <c r="BH27" s="19"/>
      <c r="BI27" s="19"/>
      <c r="BJ27" s="19"/>
      <c r="BK27" s="19"/>
      <c r="BL27" s="70"/>
      <c r="BM27" s="70"/>
      <c r="BN27" s="70"/>
      <c r="BO27" s="70"/>
      <c r="BP27" s="70"/>
      <c r="BQ27" s="70"/>
      <c r="BR27" s="70"/>
      <c r="BS27" s="70"/>
      <c r="BT27" s="70"/>
      <c r="BU27" s="27"/>
      <c r="BV27" s="27"/>
      <c r="BW27" s="27"/>
      <c r="BX27" s="27"/>
      <c r="BY27" s="27"/>
      <c r="BZ27" s="27"/>
      <c r="CA27" s="19"/>
      <c r="CB27" s="19"/>
      <c r="CC27" s="19"/>
      <c r="CD27" s="19"/>
      <c r="CE27" s="19"/>
      <c r="CF27" s="19"/>
      <c r="CG27" s="19"/>
      <c r="CH27" s="19"/>
      <c r="CI27" s="19"/>
      <c r="CJ27" s="70"/>
      <c r="CK27" s="78"/>
      <c r="CL27" s="78"/>
      <c r="CM27" s="78"/>
      <c r="CN27" s="78"/>
      <c r="CO27" s="70"/>
      <c r="CP27" s="70"/>
      <c r="CQ27" s="70"/>
      <c r="CR27" s="70"/>
      <c r="CS27" s="70"/>
      <c r="CT27" s="68"/>
      <c r="CU27" s="68"/>
      <c r="CV27" s="68"/>
      <c r="CW27" s="68"/>
      <c r="CX27" s="68"/>
      <c r="CY27" s="69"/>
      <c r="CZ27" s="69"/>
      <c r="DA27" s="69"/>
      <c r="DB27" s="69"/>
      <c r="DC27" s="69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76"/>
      <c r="DV27" s="76"/>
      <c r="DW27" s="76"/>
      <c r="DX27" s="76"/>
      <c r="DY27" s="76"/>
      <c r="DZ27" s="30"/>
      <c r="EA27" s="30"/>
      <c r="EB27" s="30"/>
      <c r="EC27" s="30"/>
      <c r="ED27" s="31"/>
      <c r="EE27" s="31"/>
      <c r="EF27" s="31"/>
      <c r="EG27" s="31"/>
      <c r="EH27" s="109"/>
      <c r="EI27" s="48"/>
      <c r="EJ27" s="48"/>
      <c r="EK27" s="19"/>
      <c r="EL27" s="23"/>
      <c r="EM27" s="23"/>
      <c r="EN27" s="25"/>
      <c r="EO27" s="25"/>
      <c r="EP27" s="188"/>
      <c r="EQ27" s="25"/>
      <c r="ER27" s="25"/>
      <c r="ES27" s="25"/>
      <c r="ET27" s="25"/>
      <c r="EU27" s="25"/>
      <c r="EV27" s="25"/>
      <c r="EW27" s="23"/>
      <c r="EX27" s="19"/>
      <c r="EY27" s="19"/>
      <c r="EZ27" s="19"/>
      <c r="FA27" s="19"/>
      <c r="FB27" s="19"/>
      <c r="FC27" s="19"/>
      <c r="FD27" s="19"/>
      <c r="FE27" s="120"/>
      <c r="FF27" s="18"/>
      <c r="FG27" s="18"/>
      <c r="FH27" s="48"/>
      <c r="FI27" s="48"/>
      <c r="FJ27" s="32"/>
      <c r="FK27" s="125" t="s">
        <v>85</v>
      </c>
      <c r="FL27" s="61"/>
      <c r="FM27" s="61"/>
      <c r="FN27" s="61"/>
      <c r="FO27" s="62" t="s">
        <v>69</v>
      </c>
      <c r="FP27" s="61"/>
      <c r="FQ27" s="61"/>
      <c r="FR27" s="132"/>
      <c r="FS27" s="137"/>
      <c r="FT27" s="19" t="s">
        <v>82</v>
      </c>
      <c r="FU27" s="93"/>
      <c r="FV27" s="138"/>
      <c r="FW27" s="49"/>
      <c r="FX27" s="93"/>
      <c r="FY27" s="49"/>
      <c r="GD27" s="30"/>
      <c r="GE27" s="30"/>
      <c r="GF27" s="30"/>
      <c r="GG27" s="30"/>
      <c r="GH27" s="30"/>
      <c r="GI27" s="16"/>
      <c r="GJ27" s="16"/>
      <c r="GK27" s="16"/>
      <c r="GL27" s="16"/>
      <c r="GM27" s="16"/>
      <c r="GN27" s="16"/>
      <c r="GO27" s="16"/>
      <c r="GP27" s="16"/>
      <c r="GQ27" s="16"/>
      <c r="GR27" s="36"/>
      <c r="GS27" s="36"/>
      <c r="GT27" s="30"/>
      <c r="GU27" s="30"/>
      <c r="GV27" s="30"/>
      <c r="GW27" s="30"/>
    </row>
    <row r="28" spans="11:205" x14ac:dyDescent="0.25">
      <c r="AB28" s="17"/>
      <c r="AC28" s="18"/>
      <c r="AD28" s="18"/>
      <c r="AE28" s="61" t="s">
        <v>84</v>
      </c>
      <c r="AF28" s="61"/>
      <c r="AG28" s="61"/>
      <c r="AH28" s="61"/>
      <c r="AI28" s="61"/>
      <c r="AJ28" s="11" t="s">
        <v>69</v>
      </c>
      <c r="AK28" s="61"/>
      <c r="AL28" s="86"/>
      <c r="AM28" s="24"/>
      <c r="AN28" s="33" t="s">
        <v>86</v>
      </c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44"/>
      <c r="AZ28" s="19"/>
      <c r="BA28" s="61"/>
      <c r="BB28" s="61"/>
      <c r="BC28" s="95"/>
      <c r="BD28" s="61"/>
      <c r="BE28" s="61"/>
      <c r="BF28" s="61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62"/>
      <c r="BR28" s="62"/>
      <c r="BS28" s="62"/>
      <c r="BT28" s="62"/>
      <c r="BU28" s="27"/>
      <c r="BV28" s="27"/>
      <c r="BW28" s="27"/>
      <c r="BX28" s="27"/>
      <c r="BY28" s="27"/>
      <c r="BZ28" s="27"/>
      <c r="CA28" s="19"/>
      <c r="CB28" s="19"/>
      <c r="CC28" s="19"/>
      <c r="CD28" s="19"/>
      <c r="CE28" s="19"/>
      <c r="CF28" s="19"/>
      <c r="CG28" s="19"/>
      <c r="CH28" s="19"/>
      <c r="CI28" s="19"/>
      <c r="CJ28" s="70"/>
      <c r="CK28" s="78"/>
      <c r="CL28" s="78"/>
      <c r="CM28" s="78"/>
      <c r="CN28" s="78"/>
      <c r="CO28" s="70"/>
      <c r="CP28" s="70"/>
      <c r="CQ28" s="70"/>
      <c r="CR28" s="70"/>
      <c r="CS28" s="70"/>
      <c r="CT28" s="68"/>
      <c r="CU28" s="68"/>
      <c r="CV28" s="68"/>
      <c r="CW28" s="68"/>
      <c r="CX28" s="68"/>
      <c r="CY28" s="69"/>
      <c r="CZ28" s="69"/>
      <c r="DA28" s="69"/>
      <c r="DB28" s="69"/>
      <c r="DC28" s="69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76"/>
      <c r="DV28" s="76"/>
      <c r="DW28" s="76"/>
      <c r="DX28" s="76"/>
      <c r="DY28" s="76"/>
      <c r="DZ28" s="30"/>
      <c r="EA28" s="30"/>
      <c r="EB28" s="30"/>
      <c r="EC28" s="30"/>
      <c r="ED28" s="31"/>
      <c r="EE28" s="31"/>
      <c r="EF28" s="31"/>
      <c r="EG28" s="31"/>
      <c r="EH28" s="109"/>
      <c r="EI28" s="220"/>
      <c r="EJ28" s="220"/>
      <c r="EK28" s="219"/>
      <c r="EL28" s="112"/>
      <c r="EM28" s="48"/>
      <c r="EN28" s="51"/>
      <c r="EO28" s="51"/>
      <c r="EP28" s="193"/>
      <c r="EQ28" s="51"/>
      <c r="ER28" s="51"/>
      <c r="ES28" s="51"/>
      <c r="ET28" s="51"/>
      <c r="EU28" s="51"/>
      <c r="EV28" s="51"/>
      <c r="EW28" s="48"/>
      <c r="EX28" s="79"/>
      <c r="EY28" s="112"/>
      <c r="EZ28" s="19"/>
      <c r="FA28" s="19"/>
      <c r="FB28" s="19"/>
      <c r="FC28" s="19"/>
      <c r="FD28" s="19"/>
      <c r="FE28" s="125" t="s">
        <v>84</v>
      </c>
      <c r="FF28" s="61"/>
      <c r="FG28" s="61"/>
      <c r="FH28" s="11" t="s">
        <v>69</v>
      </c>
      <c r="FI28" s="11"/>
      <c r="FJ28" s="11"/>
      <c r="FK28" s="122" t="s">
        <v>86</v>
      </c>
      <c r="FL28" s="33"/>
      <c r="FM28" s="33"/>
      <c r="FN28" s="33"/>
      <c r="FO28" s="33"/>
      <c r="FP28" s="33"/>
      <c r="FQ28" s="33"/>
      <c r="FR28" s="35"/>
      <c r="FS28" s="137"/>
      <c r="FT28" s="19"/>
      <c r="FU28" s="61"/>
      <c r="FV28" s="95"/>
      <c r="FW28" s="61"/>
      <c r="FX28" s="61"/>
      <c r="FY28" s="61"/>
      <c r="GD28" s="30"/>
      <c r="GE28" s="30"/>
      <c r="GF28" s="30"/>
      <c r="GG28" s="30"/>
      <c r="GH28" s="30"/>
      <c r="GI28" s="16"/>
      <c r="GJ28" s="16"/>
      <c r="GK28" s="16"/>
      <c r="GL28" s="16"/>
      <c r="GM28" s="16"/>
      <c r="GN28" s="16"/>
      <c r="GO28" s="16"/>
      <c r="GP28" s="16"/>
      <c r="GQ28" s="16"/>
      <c r="GR28" s="36"/>
      <c r="GS28" s="36"/>
      <c r="GT28" s="30"/>
      <c r="GU28" s="30"/>
      <c r="GV28" s="30"/>
      <c r="GW28" s="30"/>
    </row>
    <row r="29" spans="11:205" x14ac:dyDescent="0.25">
      <c r="AB29" s="17"/>
      <c r="AC29" s="18"/>
      <c r="AD29" s="18"/>
      <c r="AE29" s="33" t="s">
        <v>71</v>
      </c>
      <c r="AF29" s="33"/>
      <c r="AG29" s="33"/>
      <c r="AH29" s="33"/>
      <c r="AI29" s="33"/>
      <c r="AJ29" s="33"/>
      <c r="AK29" s="33"/>
      <c r="AL29" s="86"/>
      <c r="AM29" s="24"/>
      <c r="AN29" s="33" t="s">
        <v>88</v>
      </c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44"/>
      <c r="AZ29" s="19"/>
      <c r="BA29" s="33"/>
      <c r="BB29" s="33"/>
      <c r="BC29" s="35"/>
      <c r="BD29" s="33"/>
      <c r="BE29" s="33"/>
      <c r="BF29" s="33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0"/>
      <c r="BR29" s="30"/>
      <c r="BS29" s="30"/>
      <c r="BT29" s="30"/>
      <c r="BU29" s="27"/>
      <c r="BV29" s="27"/>
      <c r="BW29" s="27"/>
      <c r="BX29" s="27"/>
      <c r="BY29" s="27"/>
      <c r="BZ29" s="27"/>
      <c r="CA29" s="19"/>
      <c r="CB29" s="19"/>
      <c r="CC29" s="19"/>
      <c r="CD29" s="19"/>
      <c r="CE29" s="19"/>
      <c r="CF29" s="19"/>
      <c r="CG29" s="19"/>
      <c r="CH29" s="19"/>
      <c r="CI29" s="19"/>
      <c r="CJ29" s="70"/>
      <c r="CK29" s="78"/>
      <c r="CL29" s="78"/>
      <c r="CM29" s="78"/>
      <c r="CN29" s="78"/>
      <c r="CO29" s="70"/>
      <c r="CP29" s="70"/>
      <c r="CQ29" s="70"/>
      <c r="CR29" s="70"/>
      <c r="CS29" s="70"/>
      <c r="CT29" s="68"/>
      <c r="CU29" s="68"/>
      <c r="CV29" s="68"/>
      <c r="CW29" s="68"/>
      <c r="CX29" s="68"/>
      <c r="CY29" s="69"/>
      <c r="CZ29" s="69"/>
      <c r="DA29" s="69"/>
      <c r="DB29" s="69"/>
      <c r="DC29" s="69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76"/>
      <c r="DV29" s="76"/>
      <c r="DW29" s="76"/>
      <c r="DX29" s="76"/>
      <c r="DY29" s="76"/>
      <c r="DZ29" s="30"/>
      <c r="EA29" s="30"/>
      <c r="EB29" s="30"/>
      <c r="EC29" s="30"/>
      <c r="ED29" s="31"/>
      <c r="EE29" s="31"/>
      <c r="EF29" s="31"/>
      <c r="EG29" s="31"/>
      <c r="EH29" s="109"/>
      <c r="EI29" s="218"/>
      <c r="EJ29" s="218"/>
      <c r="EK29" s="219"/>
      <c r="EL29" s="112"/>
      <c r="EM29" s="112"/>
      <c r="EN29" s="29"/>
      <c r="EO29" s="29"/>
      <c r="EP29" s="189"/>
      <c r="EQ29" s="29"/>
      <c r="ER29" s="29"/>
      <c r="ES29" s="29"/>
      <c r="ET29" s="29"/>
      <c r="EU29" s="29"/>
      <c r="EV29" s="29"/>
      <c r="EW29" s="112"/>
      <c r="EX29" s="32"/>
      <c r="EY29" s="19"/>
      <c r="EZ29" s="19"/>
      <c r="FA29" s="27"/>
      <c r="FB29" s="27"/>
      <c r="FC29" s="27"/>
      <c r="FD29" s="27"/>
      <c r="FE29" s="122" t="s">
        <v>71</v>
      </c>
      <c r="FF29" s="33"/>
      <c r="FG29" s="33"/>
      <c r="FH29" s="33"/>
      <c r="FI29" s="33"/>
      <c r="FJ29" s="33"/>
      <c r="FK29" s="122" t="s">
        <v>88</v>
      </c>
      <c r="FL29" s="33"/>
      <c r="FM29" s="33"/>
      <c r="FN29" s="33"/>
      <c r="FO29" s="33"/>
      <c r="FP29" s="33"/>
      <c r="FQ29" s="33"/>
      <c r="FR29" s="35"/>
      <c r="FS29" s="137"/>
      <c r="FT29" s="19"/>
      <c r="FU29" s="33"/>
      <c r="FV29" s="35"/>
      <c r="FW29" s="33"/>
      <c r="FX29" s="33"/>
      <c r="FY29" s="33"/>
      <c r="GD29" s="30"/>
      <c r="GE29" s="30"/>
      <c r="GF29" s="30"/>
      <c r="GG29" s="30"/>
      <c r="GH29" s="30"/>
      <c r="GI29" s="16"/>
      <c r="GJ29" s="16"/>
      <c r="GK29" s="16"/>
      <c r="GL29" s="16"/>
      <c r="GM29" s="16"/>
      <c r="GN29" s="16"/>
      <c r="GO29" s="16"/>
      <c r="GP29" s="16"/>
      <c r="GQ29" s="16"/>
      <c r="GR29" s="36"/>
      <c r="GS29" s="36"/>
      <c r="GT29" s="30"/>
      <c r="GU29" s="30"/>
      <c r="GV29" s="30"/>
      <c r="GW29" s="30"/>
    </row>
    <row r="30" spans="11:205" x14ac:dyDescent="0.25">
      <c r="AB30" s="17"/>
      <c r="AC30" s="18"/>
      <c r="AD30" s="18"/>
      <c r="AE30" s="33" t="s">
        <v>87</v>
      </c>
      <c r="AF30" s="33"/>
      <c r="AG30" s="33"/>
      <c r="AH30" s="33"/>
      <c r="AI30" s="33"/>
      <c r="AJ30" s="33"/>
      <c r="AK30" s="33"/>
      <c r="AL30" s="86"/>
      <c r="AM30" s="24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44"/>
      <c r="AZ30" s="19"/>
      <c r="BA30" s="33"/>
      <c r="BB30" s="33"/>
      <c r="BC30" s="35"/>
      <c r="BD30" s="33"/>
      <c r="BE30" s="33"/>
      <c r="BF30" s="33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10"/>
      <c r="BR30" s="10"/>
      <c r="BS30" s="10"/>
      <c r="BT30" s="10"/>
      <c r="BU30" s="10"/>
      <c r="BV30" s="10"/>
      <c r="BW30" s="10"/>
      <c r="BX30" s="10"/>
      <c r="BY30" s="10"/>
      <c r="BZ30" s="19"/>
      <c r="CA30" s="19"/>
      <c r="CB30" s="19"/>
      <c r="CC30" s="19"/>
      <c r="CD30" s="19"/>
      <c r="CE30" s="19"/>
      <c r="CF30" s="27"/>
      <c r="CG30" s="27"/>
      <c r="CH30" s="27"/>
      <c r="CI30" s="27"/>
      <c r="CJ30" s="70"/>
      <c r="CK30" s="71"/>
      <c r="CL30" s="71"/>
      <c r="CM30" s="71"/>
      <c r="CN30" s="71"/>
      <c r="CO30" s="70"/>
      <c r="CP30" s="70"/>
      <c r="CQ30" s="70"/>
      <c r="CR30" s="70"/>
      <c r="CS30" s="70"/>
      <c r="CT30" s="68"/>
      <c r="CU30" s="68"/>
      <c r="CV30" s="68"/>
      <c r="CW30" s="68"/>
      <c r="CX30" s="68"/>
      <c r="CY30" s="69"/>
      <c r="CZ30" s="69"/>
      <c r="DA30" s="69"/>
      <c r="DB30" s="69"/>
      <c r="DC30" s="69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76"/>
      <c r="DV30" s="76"/>
      <c r="DW30" s="76"/>
      <c r="DX30" s="76"/>
      <c r="DY30" s="76"/>
      <c r="DZ30" s="30"/>
      <c r="EA30" s="30"/>
      <c r="EB30" s="30"/>
      <c r="EC30" s="30"/>
      <c r="ED30" s="31"/>
      <c r="EE30" s="31"/>
      <c r="EF30" s="31"/>
      <c r="EG30" s="31"/>
      <c r="EH30" s="109"/>
      <c r="EI30" s="218"/>
      <c r="EJ30" s="218"/>
      <c r="EK30" s="219"/>
      <c r="EL30" s="33"/>
      <c r="EM30" s="33"/>
      <c r="EN30" s="34"/>
      <c r="EO30" s="34"/>
      <c r="EP30" s="190"/>
      <c r="EQ30" s="34"/>
      <c r="ER30" s="34"/>
      <c r="ES30" s="34"/>
      <c r="ET30" s="34"/>
      <c r="EU30" s="34"/>
      <c r="EV30" s="34"/>
      <c r="EW30" s="33"/>
      <c r="EX30" s="32"/>
      <c r="EY30" s="62"/>
      <c r="EZ30" s="19"/>
      <c r="FA30" s="19"/>
      <c r="FB30" s="19"/>
      <c r="FC30" s="19"/>
      <c r="FD30" s="19"/>
      <c r="FE30" s="122" t="s">
        <v>87</v>
      </c>
      <c r="FF30" s="33"/>
      <c r="FG30" s="33"/>
      <c r="FH30" s="33"/>
      <c r="FI30" s="33"/>
      <c r="FJ30" s="33"/>
      <c r="FK30" s="86"/>
      <c r="FL30" s="33"/>
      <c r="FM30" s="33"/>
      <c r="FN30" s="33"/>
      <c r="FO30" s="33"/>
      <c r="FP30" s="33"/>
      <c r="FQ30" s="33"/>
      <c r="FR30" s="35"/>
      <c r="FS30" s="137"/>
      <c r="FT30" s="19"/>
      <c r="FU30" s="33"/>
      <c r="FV30" s="35"/>
      <c r="FW30" s="33"/>
      <c r="FX30" s="33"/>
      <c r="FY30" s="33"/>
      <c r="GD30" s="30"/>
      <c r="GE30" s="30"/>
      <c r="GF30" s="30"/>
      <c r="GG30" s="30"/>
      <c r="GH30" s="30"/>
      <c r="GI30" s="16"/>
      <c r="GJ30" s="16"/>
      <c r="GK30" s="16"/>
      <c r="GL30" s="16"/>
      <c r="GM30" s="16"/>
      <c r="GN30" s="16"/>
      <c r="GO30" s="16"/>
      <c r="GP30" s="16"/>
      <c r="GQ30" s="16"/>
      <c r="GR30" s="36"/>
      <c r="GS30" s="36"/>
      <c r="GT30" s="30"/>
      <c r="GU30" s="30"/>
      <c r="GV30" s="30"/>
      <c r="GW30" s="30"/>
    </row>
    <row r="31" spans="11:205" ht="15.75" thickBot="1" x14ac:dyDescent="0.3">
      <c r="AB31" s="37"/>
      <c r="AC31" s="38"/>
      <c r="AD31" s="38"/>
      <c r="AE31" s="52"/>
      <c r="AF31" s="52"/>
      <c r="AG31" s="53"/>
      <c r="AH31" s="52"/>
      <c r="AI31" s="54"/>
      <c r="AJ31" s="55"/>
      <c r="AK31" s="56"/>
      <c r="AL31" s="96"/>
      <c r="AM31" s="168"/>
      <c r="AN31" s="97"/>
      <c r="AO31" s="97"/>
      <c r="AP31" s="97"/>
      <c r="AQ31" s="97"/>
      <c r="AR31" s="97"/>
      <c r="AS31" s="97"/>
      <c r="AT31" s="97"/>
      <c r="AU31" s="98"/>
      <c r="AV31" s="98"/>
      <c r="AW31" s="98"/>
      <c r="AX31" s="98"/>
      <c r="AY31" s="99"/>
      <c r="AZ31" s="100"/>
      <c r="BA31" s="98"/>
      <c r="BB31" s="98"/>
      <c r="BC31" s="101"/>
      <c r="BD31" s="21"/>
      <c r="BE31" s="21"/>
      <c r="BF31" s="21"/>
      <c r="BG31" s="19"/>
      <c r="BH31" s="19"/>
      <c r="BI31" s="19"/>
      <c r="BJ31" s="19"/>
      <c r="BK31" s="19"/>
      <c r="BL31" s="80"/>
      <c r="BM31" s="80"/>
      <c r="BN31" s="80"/>
      <c r="BO31" s="80"/>
      <c r="BP31" s="20"/>
      <c r="BQ31" s="80"/>
      <c r="BR31" s="80"/>
      <c r="BS31" s="80"/>
      <c r="BT31" s="80"/>
      <c r="BU31" s="81"/>
      <c r="BV31" s="81"/>
      <c r="BW31" s="81"/>
      <c r="BX31" s="81"/>
      <c r="BY31" s="81"/>
      <c r="BZ31" s="81"/>
      <c r="CA31" s="70"/>
      <c r="CB31" s="70"/>
      <c r="CC31" s="70"/>
      <c r="CD31" s="70"/>
      <c r="CE31" s="27"/>
      <c r="CF31" s="27"/>
      <c r="CG31" s="27"/>
      <c r="CH31" s="27"/>
      <c r="CI31" s="27"/>
      <c r="CJ31" s="70"/>
      <c r="CK31" s="71"/>
      <c r="CL31" s="71"/>
      <c r="CM31" s="71"/>
      <c r="CN31" s="71"/>
      <c r="CO31" s="70"/>
      <c r="CP31" s="70"/>
      <c r="CQ31" s="70"/>
      <c r="CR31" s="70"/>
      <c r="CS31" s="70"/>
      <c r="CT31" s="68"/>
      <c r="CU31" s="68"/>
      <c r="CV31" s="68"/>
      <c r="CW31" s="68"/>
      <c r="CX31" s="68"/>
      <c r="CY31" s="69"/>
      <c r="CZ31" s="69"/>
      <c r="DA31" s="69"/>
      <c r="DB31" s="69"/>
      <c r="DC31" s="69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76"/>
      <c r="DV31" s="76"/>
      <c r="DW31" s="76"/>
      <c r="DX31" s="76"/>
      <c r="DY31" s="76"/>
      <c r="DZ31" s="30"/>
      <c r="EA31" s="30"/>
      <c r="EB31" s="30"/>
      <c r="EC31" s="30"/>
      <c r="ED31" s="31"/>
      <c r="EE31" s="31"/>
      <c r="EF31" s="31"/>
      <c r="EG31" s="31"/>
      <c r="EH31" s="109"/>
      <c r="EI31" s="19"/>
      <c r="EJ31" s="19"/>
      <c r="EK31" s="33"/>
      <c r="EL31" s="19"/>
      <c r="EM31" s="19"/>
      <c r="EN31" s="116"/>
      <c r="EO31" s="116"/>
      <c r="EP31" s="189"/>
      <c r="EQ31" s="116"/>
      <c r="ER31" s="116"/>
      <c r="ES31" s="116"/>
      <c r="ET31" s="116"/>
      <c r="EU31" s="116"/>
      <c r="EV31" s="116"/>
      <c r="EW31" s="19"/>
      <c r="EX31" s="32"/>
      <c r="EY31" s="32"/>
      <c r="EZ31" s="19"/>
      <c r="FA31" s="19"/>
      <c r="FB31" s="19"/>
      <c r="FC31" s="19"/>
      <c r="FD31" s="19"/>
      <c r="FE31" s="126"/>
      <c r="FF31" s="59"/>
      <c r="FG31" s="57"/>
      <c r="FH31" s="127"/>
      <c r="FI31" s="127"/>
      <c r="FJ31" s="128"/>
      <c r="FK31" s="96"/>
      <c r="FL31" s="97"/>
      <c r="FM31" s="97"/>
      <c r="FN31" s="97"/>
      <c r="FO31" s="97"/>
      <c r="FP31" s="97"/>
      <c r="FQ31" s="97"/>
      <c r="FR31" s="135"/>
      <c r="FS31" s="139"/>
      <c r="FT31" s="100"/>
      <c r="FU31" s="98"/>
      <c r="FV31" s="135"/>
      <c r="FW31" s="21"/>
      <c r="FX31" s="87"/>
      <c r="FY31" s="21"/>
      <c r="GD31" s="30"/>
      <c r="GE31" s="30"/>
      <c r="GF31" s="30"/>
      <c r="GG31" s="30"/>
      <c r="GH31" s="30"/>
      <c r="GI31" s="16"/>
      <c r="GJ31" s="16"/>
      <c r="GK31" s="16"/>
      <c r="GL31" s="16"/>
      <c r="GM31" s="16"/>
      <c r="GN31" s="16"/>
      <c r="GO31" s="16"/>
      <c r="GP31" s="16"/>
      <c r="GQ31" s="16"/>
      <c r="GR31" s="36"/>
      <c r="GS31" s="36"/>
      <c r="GT31" s="30"/>
      <c r="GU31" s="30"/>
      <c r="GV31" s="30"/>
      <c r="GW31" s="30"/>
    </row>
    <row r="37" spans="2:13" x14ac:dyDescent="0.25">
      <c r="B37" t="s">
        <v>91</v>
      </c>
    </row>
    <row r="40" spans="2:13" x14ac:dyDescent="0.25">
      <c r="B40" t="s">
        <v>92</v>
      </c>
      <c r="I40" t="s">
        <v>94</v>
      </c>
      <c r="M40" t="s">
        <v>95</v>
      </c>
    </row>
    <row r="41" spans="2:13" x14ac:dyDescent="0.25">
      <c r="B41" t="s">
        <v>93</v>
      </c>
      <c r="I41" t="s">
        <v>93</v>
      </c>
      <c r="M41" t="s">
        <v>96</v>
      </c>
    </row>
  </sheetData>
  <mergeCells count="22">
    <mergeCell ref="AN1:BE1"/>
    <mergeCell ref="AB2:AE2"/>
    <mergeCell ref="AB1:AL1"/>
    <mergeCell ref="AW2:BD2"/>
    <mergeCell ref="BG1:EO1"/>
    <mergeCell ref="AG2:AJ2"/>
    <mergeCell ref="AN2:AU2"/>
    <mergeCell ref="EX17:EZ18"/>
    <mergeCell ref="EI20:EK20"/>
    <mergeCell ref="EX20:EY20"/>
    <mergeCell ref="BK2:DD2"/>
    <mergeCell ref="DJ2:ED2"/>
    <mergeCell ref="EF2:EI2"/>
    <mergeCell ref="EK2:EM2"/>
    <mergeCell ref="EQ2:ER2"/>
    <mergeCell ref="EI29:EK29"/>
    <mergeCell ref="EI30:EK30"/>
    <mergeCell ref="EI28:EK28"/>
    <mergeCell ref="EI21:EK21"/>
    <mergeCell ref="EX21:EY21"/>
    <mergeCell ref="EI22:EK22"/>
    <mergeCell ref="EX22:EY22"/>
  </mergeCells>
  <conditionalFormatting sqref="AC17:AD22 AD16 AC25:AD31 AD23:AD24">
    <cfRule type="duplicateValues" dxfId="15" priority="12"/>
    <cfRule type="duplicateValues" dxfId="14" priority="13"/>
    <cfRule type="duplicateValues" dxfId="13" priority="14"/>
  </conditionalFormatting>
  <conditionalFormatting sqref="AC17:AD22">
    <cfRule type="duplicateValues" dxfId="12" priority="10"/>
    <cfRule type="duplicateValues" dxfId="11" priority="11"/>
    <cfRule type="duplicateValues" dxfId="10" priority="15"/>
    <cfRule type="duplicateValues" dxfId="9" priority="16"/>
  </conditionalFormatting>
  <conditionalFormatting sqref="AD16:AD31">
    <cfRule type="duplicateValues" dxfId="8" priority="9"/>
  </conditionalFormatting>
  <conditionalFormatting sqref="FF17:FG22 FG16 FF25:FG31 FG23:FG24">
    <cfRule type="duplicateValues" dxfId="7" priority="4"/>
    <cfRule type="duplicateValues" dxfId="6" priority="5"/>
    <cfRule type="duplicateValues" dxfId="5" priority="6"/>
  </conditionalFormatting>
  <conditionalFormatting sqref="FF17:FG22">
    <cfRule type="duplicateValues" dxfId="4" priority="2"/>
    <cfRule type="duplicateValues" dxfId="3" priority="3"/>
    <cfRule type="duplicateValues" dxfId="2" priority="7"/>
    <cfRule type="duplicateValues" dxfId="1" priority="8"/>
  </conditionalFormatting>
  <conditionalFormatting sqref="FG16:FG31">
    <cfRule type="duplicateValues" dxfId="0" priority="1"/>
  </conditionalFormatting>
  <pageMargins left="0.25" right="0.25" top="0.75" bottom="0.75" header="0.3" footer="0.3"/>
  <pageSetup paperSize="8" scale="30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536D-0E51-4FC6-9837-98793D0C5AC9}">
  <dimension ref="A1:AJ9"/>
  <sheetViews>
    <sheetView topLeftCell="M1" zoomScale="220" zoomScaleNormal="220" workbookViewId="0">
      <selection activeCell="W2" sqref="W2"/>
    </sheetView>
  </sheetViews>
  <sheetFormatPr defaultRowHeight="15" x14ac:dyDescent="0.25"/>
  <cols>
    <col min="1" max="9" width="21.5703125" customWidth="1"/>
    <col min="10" max="12" width="15.85546875" customWidth="1"/>
    <col min="13" max="14" width="14.7109375" customWidth="1"/>
    <col min="15" max="16" width="3.7109375" customWidth="1"/>
    <col min="18" max="18" width="12.140625" customWidth="1"/>
    <col min="29" max="29" width="10.28515625" customWidth="1"/>
    <col min="30" max="30" width="10.7109375" customWidth="1"/>
    <col min="31" max="31" width="13.140625" customWidth="1"/>
    <col min="32" max="36" width="11.28515625" customWidth="1"/>
  </cols>
  <sheetData>
    <row r="1" spans="1:36" ht="25.5" x14ac:dyDescent="0.25">
      <c r="A1" s="148" t="s">
        <v>128</v>
      </c>
      <c r="B1" s="148" t="s">
        <v>114</v>
      </c>
      <c r="C1" s="148" t="s">
        <v>113</v>
      </c>
      <c r="D1" s="145" t="s">
        <v>115</v>
      </c>
      <c r="E1" s="145" t="s">
        <v>7</v>
      </c>
      <c r="F1" s="145" t="s">
        <v>2</v>
      </c>
      <c r="G1" s="145" t="s">
        <v>3</v>
      </c>
      <c r="H1" s="145" t="s">
        <v>4</v>
      </c>
      <c r="I1" s="145" t="s">
        <v>147</v>
      </c>
      <c r="J1" s="145" t="s">
        <v>143</v>
      </c>
      <c r="K1" s="145" t="s">
        <v>146</v>
      </c>
      <c r="L1" s="145" t="s">
        <v>5</v>
      </c>
      <c r="M1" s="145" t="s">
        <v>99</v>
      </c>
      <c r="N1" s="148" t="s">
        <v>100</v>
      </c>
      <c r="O1" s="148" t="s">
        <v>10</v>
      </c>
      <c r="P1" s="148" t="s">
        <v>11</v>
      </c>
      <c r="Q1" s="148" t="s">
        <v>12</v>
      </c>
      <c r="R1" s="146" t="s">
        <v>101</v>
      </c>
      <c r="S1" s="148" t="s">
        <v>161</v>
      </c>
      <c r="T1" s="148" t="s">
        <v>162</v>
      </c>
      <c r="U1" s="148" t="s">
        <v>163</v>
      </c>
      <c r="V1" s="148" t="s">
        <v>164</v>
      </c>
      <c r="W1" s="148" t="s">
        <v>165</v>
      </c>
      <c r="X1" s="145" t="s">
        <v>104</v>
      </c>
      <c r="Y1" s="145" t="s">
        <v>102</v>
      </c>
      <c r="Z1" s="145" t="s">
        <v>103</v>
      </c>
      <c r="AA1" s="145" t="s">
        <v>105</v>
      </c>
      <c r="AB1" s="145" t="s">
        <v>106</v>
      </c>
      <c r="AC1" s="145" t="s">
        <v>97</v>
      </c>
      <c r="AD1" s="145" t="s">
        <v>107</v>
      </c>
      <c r="AE1" s="145" t="s">
        <v>98</v>
      </c>
      <c r="AF1" s="147" t="s">
        <v>149</v>
      </c>
      <c r="AG1" s="147" t="s">
        <v>150</v>
      </c>
      <c r="AH1" s="147" t="s">
        <v>151</v>
      </c>
      <c r="AI1" s="147" t="s">
        <v>152</v>
      </c>
      <c r="AJ1" s="147" t="s">
        <v>153</v>
      </c>
    </row>
    <row r="6" spans="1:36" x14ac:dyDescent="0.25">
      <c r="A6" t="s">
        <v>148</v>
      </c>
    </row>
    <row r="8" spans="1:36" x14ac:dyDescent="0.25">
      <c r="B8" t="s">
        <v>105</v>
      </c>
      <c r="C8" t="s">
        <v>144</v>
      </c>
    </row>
    <row r="9" spans="1:36" x14ac:dyDescent="0.25">
      <c r="B9" t="s">
        <v>106</v>
      </c>
      <c r="C9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Regular</vt:lpstr>
      <vt:lpstr>Masterlist</vt:lpstr>
      <vt:lpstr>Regular!Print_Area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HR-JELENE</cp:lastModifiedBy>
  <cp:lastPrinted>2026-05-13T09:25:06Z</cp:lastPrinted>
  <dcterms:created xsi:type="dcterms:W3CDTF">2026-04-29T11:59:02Z</dcterms:created>
  <dcterms:modified xsi:type="dcterms:W3CDTF">2026-05-14T01:36:49Z</dcterms:modified>
</cp:coreProperties>
</file>